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IR" sheetId="1" r:id="rId5"/>
    <sheet state="visible" name="VCHAIR" sheetId="2" r:id="rId6"/>
    <sheet state="visible" name="HRMDO" sheetId="3" r:id="rId7"/>
    <sheet state="visible" name="FACASPres" sheetId="4" r:id="rId8"/>
    <sheet state="visible" name="ICS HEAD" sheetId="5" r:id="rId9"/>
    <sheet state="visible" name="BEI Summary" sheetId="6" r:id="rId10"/>
    <sheet state="visible" name="CAR-ICS" sheetId="7" r:id="rId11"/>
  </sheets>
  <definedNames>
    <definedName hidden="1" localSheetId="0" name="Z_6CD1F538_486D_42AB_88A5_67C763159FB9_.wvu.FilterData">CHAIR!$A$3:$H$43</definedName>
  </definedNames>
  <calcPr/>
  <customWorkbookViews>
    <customWorkbookView activeSheetId="0" maximized="1" windowHeight="0" windowWidth="0" guid="{6CD1F538-486D-42AB-88A5-67C763159FB9}" name="Filter 1"/>
  </customWorkbookViews>
</workbook>
</file>

<file path=xl/sharedStrings.xml><?xml version="1.0" encoding="utf-8"?>
<sst xmlns="http://schemas.openxmlformats.org/spreadsheetml/2006/main" count="570" uniqueCount="146">
  <si>
    <t xml:space="preserve">INTERVIEW SCORESHEET FOR THE FACULTY INSTRUCTOR I </t>
  </si>
  <si>
    <t>Interviewer:</t>
  </si>
  <si>
    <t>DELOSA, JOVELYN G.</t>
  </si>
  <si>
    <t>Date:</t>
  </si>
  <si>
    <t xml:space="preserve">GABINETE, JULIUS S. </t>
  </si>
  <si>
    <t>THEME QUESTIONS (OVER 40)</t>
  </si>
  <si>
    <t>A. BELIEFS</t>
  </si>
  <si>
    <t>QUESTIONS</t>
  </si>
  <si>
    <t>Jhonrey A. Cañete</t>
  </si>
  <si>
    <t>Remarks/Comments</t>
  </si>
  <si>
    <t>-</t>
  </si>
  <si>
    <t xml:space="preserve">Self-Awareness </t>
  </si>
  <si>
    <t>Tell us something that is not included in your CV, and tell us how you see yourself five (5) years from now.</t>
  </si>
  <si>
    <t>Teaching Philosophy</t>
  </si>
  <si>
    <t>What is your Teaching Philosophy, and how did you/are you going to apply that in your class</t>
  </si>
  <si>
    <t xml:space="preserve">Sub-Total	</t>
  </si>
  <si>
    <t>B. FLEXIBLE LEARNING</t>
  </si>
  <si>
    <t>Sub-Total</t>
  </si>
  <si>
    <r>
      <rPr>
        <rFont val="Calibri"/>
        <b/>
        <color theme="1"/>
        <sz val="18.0"/>
      </rPr>
      <t>Considerations</t>
    </r>
    <r>
      <rPr>
        <rFont val="Calibri"/>
        <color theme="1"/>
        <sz val="18.0"/>
      </rPr>
      <t xml:space="preserve"> </t>
    </r>
  </si>
  <si>
    <t>If you were to implement Flexible Learning, what would your considerations be?</t>
  </si>
  <si>
    <t>C. 21ST CENTURY SKILLS</t>
  </si>
  <si>
    <r>
      <rPr>
        <rFont val="Calibri"/>
        <b/>
        <color theme="1"/>
        <sz val="18.0"/>
      </rPr>
      <t>Diversity</t>
    </r>
    <r>
      <rPr>
        <rFont val="Calibri"/>
        <color theme="1"/>
        <sz val="18.0"/>
      </rPr>
      <t xml:space="preserve"> </t>
    </r>
  </si>
  <si>
    <t>How will you value diversity in the workplace and in the classroom</t>
  </si>
  <si>
    <r>
      <rPr>
        <rFont val="Calibri"/>
        <b/>
        <color theme="1"/>
        <sz val="18.0"/>
      </rPr>
      <t>Collaboration</t>
    </r>
    <r>
      <rPr>
        <rFont val="Calibri"/>
        <color theme="1"/>
        <sz val="18.0"/>
      </rPr>
      <t xml:space="preserve"> </t>
    </r>
  </si>
  <si>
    <t xml:space="preserve"> Share an experience where you successfully collaborated with stakeholders </t>
  </si>
  <si>
    <t>Motivation</t>
  </si>
  <si>
    <t>How will you guide students to achieve their goals?</t>
  </si>
  <si>
    <r>
      <rPr>
        <rFont val="Calibri"/>
        <b/>
        <color theme="1"/>
        <sz val="18.0"/>
      </rPr>
      <t>Considerations</t>
    </r>
    <r>
      <rPr>
        <rFont val="Calibri"/>
        <color theme="1"/>
        <sz val="18.0"/>
      </rPr>
      <t xml:space="preserve"> </t>
    </r>
  </si>
  <si>
    <t>D. CONTRIBUTION</t>
  </si>
  <si>
    <r>
      <rPr>
        <rFont val="Calibri"/>
        <b/>
        <color theme="1"/>
        <sz val="18.0"/>
      </rPr>
      <t>Considerations</t>
    </r>
    <r>
      <rPr>
        <rFont val="Calibri"/>
        <color theme="1"/>
        <sz val="18.0"/>
      </rPr>
      <t xml:space="preserve"> </t>
    </r>
  </si>
  <si>
    <t>Background and experience</t>
  </si>
  <si>
    <t xml:space="preserve">(How would your background and experiences strengthen this academic institution) </t>
  </si>
  <si>
    <r>
      <rPr>
        <rFont val="Calibri"/>
        <b/>
        <color theme="1"/>
        <sz val="18.0"/>
      </rPr>
      <t>Stress Management</t>
    </r>
    <r>
      <rPr>
        <rFont val="Calibri"/>
        <color theme="1"/>
        <sz val="18.0"/>
      </rPr>
      <t xml:space="preserve"> </t>
    </r>
  </si>
  <si>
    <t>How do you manage stress in the workplace?)</t>
  </si>
  <si>
    <t xml:space="preserve">Total </t>
  </si>
  <si>
    <r>
      <rPr>
        <rFont val="Calibri"/>
        <b/>
        <color theme="1"/>
        <sz val="18.0"/>
      </rPr>
      <t>Considerations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</si>
  <si>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Diversity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</si>
  <si>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Diversity</t>
    </r>
    <r>
      <rPr>
        <rFont val="Calibri"/>
        <color theme="1"/>
        <sz val="18.0"/>
      </rPr>
      <t xml:space="preserve"> </t>
    </r>
  </si>
  <si>
    <t>PSYCHOSOCIAL (OVER 25)</t>
  </si>
  <si>
    <r>
      <rPr>
        <rFont val="Calibri"/>
        <b/>
        <color theme="1"/>
        <sz val="18.0"/>
      </rPr>
      <t>Collaboration</t>
    </r>
    <r>
      <rPr>
        <rFont val="Calibri"/>
        <color theme="1"/>
        <sz val="18.0"/>
      </rPr>
      <t xml:space="preserve"> </t>
    </r>
  </si>
  <si>
    <t>CRITERIA</t>
  </si>
  <si>
    <r>
      <rPr>
        <rFont val="Calibri"/>
        <b/>
        <color theme="1"/>
        <sz val="18.0"/>
      </rPr>
      <t>Collaboration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</si>
  <si>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Motivational</t>
    </r>
    <r>
      <rPr>
        <rFont val="Calibri"/>
        <color theme="1"/>
        <sz val="18.0"/>
      </rPr>
      <t xml:space="preserve"> </t>
    </r>
  </si>
  <si>
    <t>PROBITY:</t>
  </si>
  <si>
    <t>Responds to probing questions with honesty and accuracy</t>
  </si>
  <si>
    <t>ELOCUTION</t>
  </si>
  <si>
    <t>Uses a clear voice and correct, precise pronunciation</t>
  </si>
  <si>
    <t>ARTICULATION:</t>
  </si>
  <si>
    <t xml:space="preserve"> Expresses answers fluently and coherently</t>
  </si>
  <si>
    <t>DEMEANOR:</t>
  </si>
  <si>
    <t>Demonstrates appropriate social and non-verbal behaviors (such as body language and facial expressions)</t>
  </si>
  <si>
    <t xml:space="preserve">ATTITUDE: </t>
  </si>
  <si>
    <t>Shows positive disposition and outlook</t>
  </si>
  <si>
    <r>
      <rPr>
        <rFont val="Calibri"/>
        <b/>
        <color theme="1"/>
        <sz val="18.0"/>
      </rPr>
      <t>Diversity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</si>
  <si>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Collaboration</t>
    </r>
    <r>
      <rPr>
        <rFont val="Calibri"/>
        <color theme="1"/>
        <sz val="18.0"/>
      </rPr>
      <t xml:space="preserve"> </t>
    </r>
  </si>
  <si>
    <t>TEACHING DEMONSTRATION</t>
  </si>
  <si>
    <t>How would your background and experiences strengthen this academic institution</t>
  </si>
  <si>
    <t>POINTS</t>
  </si>
  <si>
    <r>
      <rPr>
        <rFont val="Calibri"/>
        <b/>
        <color theme="1"/>
        <sz val="18.0"/>
      </rPr>
      <t>Stress Management</t>
    </r>
    <r>
      <rPr>
        <rFont val="Calibri"/>
        <color theme="1"/>
        <sz val="18.0"/>
      </rPr>
      <t xml:space="preserve"> </t>
    </r>
  </si>
  <si>
    <t>How do you manage stress in the workplace?</t>
  </si>
  <si>
    <r>
      <rPr>
        <rFont val="Calibri"/>
        <b/>
        <color theme="1"/>
        <sz val="18.0"/>
      </rPr>
      <t>Stress Management</t>
    </r>
    <r>
      <rPr>
        <rFont val="Calibri"/>
        <color theme="1"/>
        <sz val="18.0"/>
      </rPr>
      <t xml:space="preserve"> </t>
    </r>
  </si>
  <si>
    <t xml:space="preserve">Introduction:
</t>
  </si>
  <si>
    <t>5 PTS</t>
  </si>
  <si>
    <t>Learning Outcomes:</t>
  </si>
  <si>
    <t>Establishing Rapport</t>
  </si>
  <si>
    <t>Mastery of the subject matter</t>
  </si>
  <si>
    <t>10 PTS</t>
  </si>
  <si>
    <t xml:space="preserve">Utilization of Student-Centered Teaching Strategies
</t>
  </si>
  <si>
    <t xml:space="preserve">Use of appropriate technology and assessment Techniques
</t>
  </si>
  <si>
    <t>Art of Questioning</t>
  </si>
  <si>
    <t>Integration of core values</t>
  </si>
  <si>
    <t>Communication skills:</t>
  </si>
  <si>
    <t>Concluding/Processing Techniques:</t>
  </si>
  <si>
    <t>Use of Appropriate Assessment Techniques</t>
  </si>
  <si>
    <t>Teacher Presence</t>
  </si>
  <si>
    <r>
      <rPr>
        <rFont val="Calibri"/>
        <b/>
        <color theme="1"/>
        <sz val="18.0"/>
      </rPr>
      <t>Stress Management</t>
    </r>
    <r>
      <rPr>
        <rFont val="Calibri"/>
        <color theme="1"/>
        <sz val="18.0"/>
      </rPr>
      <t xml:space="preserve"> </t>
    </r>
  </si>
  <si>
    <t xml:space="preserve">PROBITY: </t>
  </si>
  <si>
    <t xml:space="preserve">ELOCUTION: </t>
  </si>
  <si>
    <t xml:space="preserve">Establishing Rapport
</t>
  </si>
  <si>
    <t>Utilization of Student-Centered Teaching Strategies</t>
  </si>
  <si>
    <t>Use of appropriate technology and assessment Techniques</t>
  </si>
  <si>
    <t>Communication skills</t>
  </si>
  <si>
    <t>SHIELA MAE M OROZCO</t>
  </si>
  <si>
    <r>
      <rPr>
        <rFont val="Calibri"/>
        <b/>
        <color theme="1"/>
        <sz val="18.0"/>
      </rPr>
      <t>Considerations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</si>
  <si>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Diversity</t>
    </r>
    <r>
      <rPr>
        <rFont val="Calibri"/>
        <color theme="1"/>
        <sz val="18.0"/>
      </rPr>
      <t xml:space="preserve"> </t>
    </r>
  </si>
  <si>
    <t>How do you value diversity in the workplace and in the classroom</t>
  </si>
  <si>
    <t>connect with the students, respect the culture</t>
  </si>
  <si>
    <r>
      <rPr>
        <rFont val="Calibri"/>
        <b/>
        <color theme="1"/>
        <sz val="18.0"/>
      </rPr>
      <t>Collaboration</t>
    </r>
    <r>
      <rPr>
        <rFont val="Calibri"/>
        <color theme="1"/>
        <sz val="18.0"/>
      </rPr>
      <t xml:space="preserve"> </t>
    </r>
  </si>
  <si>
    <t>collaborated with the stakeholder, LGU</t>
  </si>
  <si>
    <r>
      <rPr>
        <rFont val="Calibri"/>
        <b/>
        <color theme="1"/>
        <sz val="18.0"/>
      </rPr>
      <t>Motivational</t>
    </r>
    <r>
      <rPr>
        <rFont val="Calibri"/>
        <color theme="1"/>
        <sz val="18.0"/>
      </rPr>
      <t xml:space="preserve"> </t>
    </r>
  </si>
  <si>
    <t>coached and mentored students in academic competition</t>
  </si>
  <si>
    <r>
      <rPr>
        <rFont val="Calibri"/>
        <b/>
        <color theme="1"/>
        <sz val="18.0"/>
      </rPr>
      <t>Motivational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</si>
  <si>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Stress Management</t>
    </r>
    <r>
      <rPr>
        <rFont val="Calibri"/>
        <color theme="1"/>
        <sz val="18.0"/>
      </rPr>
      <t xml:space="preserve"> </t>
    </r>
  </si>
  <si>
    <t>Northern Bukidnon State College</t>
  </si>
  <si>
    <t>HUMAN RESOURCE MERIT PROMOTION AND SELECTION BOARD</t>
  </si>
  <si>
    <r>
      <rPr>
        <rFont val="Arial"/>
        <b/>
        <color theme="1"/>
        <sz val="11.0"/>
      </rPr>
      <t xml:space="preserve">Summary Scores for the </t>
    </r>
    <r>
      <rPr>
        <rFont val="Arial"/>
        <b/>
        <color theme="1"/>
        <sz val="11.0"/>
        <u/>
      </rPr>
      <t>INSTRUCTOR I (COS) - ICS</t>
    </r>
  </si>
  <si>
    <t>PART 1</t>
  </si>
  <si>
    <t>Republic of the Philippines</t>
  </si>
  <si>
    <t>PART 2</t>
  </si>
  <si>
    <t>PART 3</t>
  </si>
  <si>
    <t>NORTHERN BUKIDNON STATE COLLEGE</t>
  </si>
  <si>
    <t>Applicant</t>
  </si>
  <si>
    <t>Interview</t>
  </si>
  <si>
    <t>Manolo Fortich, Bukidnon</t>
  </si>
  <si>
    <t xml:space="preserve">Psychosocial </t>
  </si>
  <si>
    <t>Teaching Demo</t>
  </si>
  <si>
    <t>For Teaching Contract of Service Position</t>
  </si>
  <si>
    <t>COMPARATIVE ASSESSMENT REPORT</t>
  </si>
  <si>
    <t>Vacant Position</t>
  </si>
  <si>
    <t xml:space="preserve">Instructor I </t>
  </si>
  <si>
    <t>Education</t>
  </si>
  <si>
    <t>Master of Science in Information Technology, Master in Information Technology, or any Allied Computing Course</t>
  </si>
  <si>
    <t>Daily Rate</t>
  </si>
  <si>
    <t>Eligibility</t>
  </si>
  <si>
    <t xml:space="preserve">None Required					</t>
  </si>
  <si>
    <t>Employment Status</t>
  </si>
  <si>
    <t>Contract of Service</t>
  </si>
  <si>
    <t>Training</t>
  </si>
  <si>
    <t>Office Assignment</t>
  </si>
  <si>
    <t>Institute for Computer Science</t>
  </si>
  <si>
    <t>Experience</t>
  </si>
  <si>
    <t>Preferably with teaching experience</t>
  </si>
  <si>
    <t>No.</t>
  </si>
  <si>
    <t>Name of Applicant</t>
  </si>
  <si>
    <t>Educ. Qualifications, Experience, Training and
Eligibility (70 %)</t>
  </si>
  <si>
    <t>Teaching Demo
(20%)</t>
  </si>
  <si>
    <t xml:space="preserve">Interview &amp; Psychosocial)
(10%) </t>
  </si>
  <si>
    <t>TOTAL
(100)</t>
  </si>
  <si>
    <t>RANK</t>
  </si>
  <si>
    <t>- Bachelor of Science in Information Technology, Bukidnon State University
- Master in Information Technology, University of Immaculate Conception (Ongoing, 24 units)
- Instructor at STI College Valencia (2022-2026)</t>
  </si>
  <si>
    <t>*Master of Arts in Secondary Education                                                               *Bachelor of Science in Engineering Teachnology Management</t>
  </si>
  <si>
    <t>***nothing follows***</t>
  </si>
  <si>
    <t>NOREEN FAYE M. ESTA</t>
  </si>
  <si>
    <t>SHIELA MAE OROZCO, MIT</t>
  </si>
  <si>
    <t>JULIUS S. GABINETE, DM</t>
  </si>
  <si>
    <t>HRMO II/ OIC-HRMDO</t>
  </si>
  <si>
    <t>Department Head, ICS</t>
  </si>
  <si>
    <t>President, Faculty Association</t>
  </si>
  <si>
    <t>HRMPSB Member</t>
  </si>
  <si>
    <t>SHEILA K. MAGLENTE, DM</t>
  </si>
  <si>
    <t>JOVELYN G. DELOSA, PhD</t>
  </si>
  <si>
    <t>Associate Professor II</t>
  </si>
  <si>
    <t>Vice President for Academic Affairs</t>
  </si>
  <si>
    <t xml:space="preserve"> HRMPSB Vice-Chair</t>
  </si>
  <si>
    <t xml:space="preserve"> </t>
  </si>
  <si>
    <t>HRMPSB Chair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</si>
</sst>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\ d\,\ yyyy"/>
    <numFmt numFmtId="165" formatCode="0.0"/>
  </numFmts>
  <fonts count="33">
    <font>
      <sz val="11.0"/>
      <color theme="1"/>
      <name val="Calibri"/>
      <scheme val="minor"/>
    </font>
    <font>
      <b/>
      <sz val="18.0"/>
      <color theme="1"/>
      <name val="Arial"/>
    </font>
    <font>
      <sz val="18.0"/>
      <color theme="1"/>
      <name val="Arial"/>
    </font>
    <font>
      <sz val="18.0"/>
      <color theme="1"/>
      <name val="Calibri"/>
    </font>
    <font>
      <sz val="16.0"/>
      <color theme="1"/>
      <name val="Arial"/>
    </font>
    <font>
      <b/>
      <sz val="18.0"/>
      <color rgb="FFFFFFFF"/>
      <name val="Calibri"/>
    </font>
    <font>
      <sz val="16.0"/>
      <color rgb="FFFFFFFF"/>
      <name val="Calibri"/>
    </font>
    <font>
      <sz val="18.0"/>
      <color theme="0"/>
      <name val="Calibri"/>
    </font>
    <font>
      <sz val="18.0"/>
      <color rgb="FFFFFFFF"/>
      <name val="Calibri"/>
    </font>
    <font>
      <b/>
      <sz val="18.0"/>
      <color theme="1"/>
      <name val="Calibri"/>
    </font>
    <font>
      <b/>
      <sz val="14.0"/>
      <color rgb="FF000000"/>
      <name val="Arial"/>
    </font>
    <font>
      <b/>
      <sz val="18.0"/>
      <color rgb="FFFF0000"/>
      <name val="Calibri"/>
    </font>
    <font>
      <b/>
      <sz val="14.0"/>
      <color rgb="FFFF0000"/>
      <name val="Calibri"/>
    </font>
    <font>
      <b/>
      <sz val="17.0"/>
      <color theme="1"/>
      <name val="Calibri"/>
    </font>
    <font>
      <b/>
      <sz val="14.0"/>
      <color rgb="FF000000"/>
      <name val="Calibri"/>
    </font>
    <font>
      <b/>
      <sz val="16.0"/>
      <color theme="1"/>
      <name val="Calibri"/>
    </font>
    <font>
      <b/>
      <sz val="18.0"/>
      <color rgb="FF000000"/>
      <name val="Calibri"/>
    </font>
    <font/>
    <font>
      <b/>
      <sz val="16.0"/>
      <color rgb="FF000000"/>
      <name val="Calibri"/>
    </font>
    <font>
      <b/>
      <sz val="18.0"/>
      <color theme="0"/>
      <name val="Calibri"/>
    </font>
    <font>
      <sz val="16.0"/>
      <color theme="0"/>
      <name val="Calibri"/>
    </font>
    <font>
      <b/>
      <sz val="17.0"/>
      <color rgb="FF000000"/>
      <name val="Calibri"/>
    </font>
    <font>
      <b/>
      <sz val="15.0"/>
      <color rgb="FF000000"/>
      <name val="Calibri"/>
    </font>
    <font>
      <sz val="16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b/>
      <sz val="16.0"/>
      <color theme="1"/>
      <name val="Arial"/>
    </font>
    <font>
      <sz val="10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7030A0"/>
        <bgColor rgb="FF7030A0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DEEAF6"/>
        <bgColor rgb="FFDEEAF6"/>
      </patternFill>
    </fill>
    <fill>
      <patternFill patternType="solid">
        <fgColor rgb="FFC27BA0"/>
        <bgColor rgb="FFC27BA0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37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wrapText="1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1" fillId="2" fontId="6" numFmtId="0" xfId="0" applyAlignment="1" applyBorder="1" applyFill="1" applyFont="1">
      <alignment shrinkToFit="0" wrapText="1"/>
    </xf>
    <xf borderId="1" fillId="2" fontId="7" numFmtId="0" xfId="0" applyAlignment="1" applyBorder="1" applyFill="1" applyFont="1">
      <alignment shrinkToFit="0" wrapText="1"/>
    </xf>
    <xf borderId="1" fillId="2" fontId="8" numFmtId="0" xfId="0" applyAlignment="1" applyBorder="1" applyFill="1" applyFont="1">
      <alignment shrinkToFit="0" wrapText="1"/>
    </xf>
    <xf borderId="1" fillId="3" fontId="5" numFmtId="0" xfId="0" applyAlignment="1" applyBorder="1" applyFill="1" applyFont="1">
      <alignment horizontal="left" shrinkToFit="0" vertical="center" wrapText="1"/>
    </xf>
    <xf borderId="2" fillId="4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center" vertical="center"/>
    </xf>
    <xf borderId="1" fillId="2" fontId="2" numFmtId="0" xfId="0" applyAlignment="1" applyBorder="1" applyFill="1" applyFont="1">
      <alignment shrinkToFit="0" wrapText="1"/>
    </xf>
    <xf borderId="6" fillId="0" fontId="9" numFmtId="0" xfId="0" applyAlignment="1" applyBorder="1" applyFont="1">
      <alignment horizontal="center" shrinkToFit="0" vertical="center" wrapText="1"/>
    </xf>
    <xf quotePrefix="1" borderId="5" fillId="0" fontId="11" numFmtId="0" xfId="0" applyAlignment="1" applyBorder="1" applyFont="1">
      <alignment horizontal="center" vertical="center"/>
    </xf>
    <xf borderId="1" fillId="2" fontId="3" numFmtId="0" xfId="0" applyAlignment="1" applyBorder="1" applyFill="1" applyFont="1">
      <alignment shrinkToFit="0" wrapText="1"/>
    </xf>
    <xf borderId="7" fillId="4" fontId="9" numFmtId="0" xfId="0" applyAlignment="1" applyBorder="1" applyFill="1" applyFont="1">
      <alignment horizontal="center" shrinkToFit="0" vertical="center" wrapText="1"/>
    </xf>
    <xf borderId="8" fillId="0" fontId="9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left" shrinkToFit="0" vertical="center" wrapText="1"/>
    </xf>
    <xf borderId="5" fillId="0" fontId="12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shrinkToFit="0" vertical="center" wrapText="1"/>
    </xf>
    <xf borderId="8" fillId="0" fontId="13" numFmtId="0" xfId="0" applyAlignment="1" applyBorder="1" applyFont="1">
      <alignment horizontal="center" readingOrder="0" shrinkToFit="0" vertical="center" wrapText="1"/>
    </xf>
    <xf borderId="5" fillId="0" fontId="14" numFmtId="0" xfId="0" applyAlignment="1" applyBorder="1" applyFont="1">
      <alignment horizontal="center" vertical="center"/>
    </xf>
    <xf borderId="3" fillId="0" fontId="11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right" shrinkToFit="0" vertical="center" wrapText="1"/>
    </xf>
    <xf borderId="9" fillId="5" fontId="9" numFmtId="0" xfId="0" applyAlignment="1" applyBorder="1" applyFill="1" applyFont="1">
      <alignment horizontal="right" shrinkToFit="0" vertical="center" wrapText="1"/>
    </xf>
    <xf borderId="8" fillId="0" fontId="9" numFmtId="0" xfId="0" applyAlignment="1" applyBorder="1" applyFont="1">
      <alignment horizontal="center" readingOrder="0" shrinkToFit="0" vertical="center" wrapText="1"/>
    </xf>
    <xf borderId="10" fillId="5" fontId="15" numFmtId="0" xfId="0" applyAlignment="1" applyBorder="1" applyFill="1" applyFont="1">
      <alignment horizontal="center" shrinkToFit="0" vertical="center" wrapText="1"/>
    </xf>
    <xf borderId="10" fillId="5" fontId="9" numFmtId="0" xfId="0" applyAlignment="1" applyBorder="1" applyFill="1" applyFont="1">
      <alignment horizontal="center" shrinkToFit="0" vertical="center" wrapText="1"/>
    </xf>
    <xf borderId="6" fillId="0" fontId="15" numFmtId="0" xfId="0" applyAlignment="1" applyBorder="1" applyFont="1">
      <alignment horizontal="center" shrinkToFit="0" vertical="center" wrapText="1"/>
    </xf>
    <xf borderId="11" fillId="5" fontId="16" numFmtId="0" xfId="0" applyAlignment="1" applyBorder="1" applyFill="1" applyFont="1">
      <alignment horizontal="right" shrinkToFit="0" vertical="center" wrapText="1"/>
    </xf>
    <xf borderId="12" fillId="0" fontId="17" numFmtId="0" xfId="0" applyBorder="1" applyFont="1"/>
    <xf borderId="1" fillId="3" fontId="5" numFmtId="0" xfId="0" applyAlignment="1" applyBorder="1" applyFill="1" applyFont="1">
      <alignment horizontal="left" shrinkToFit="0" wrapText="1"/>
    </xf>
    <xf borderId="0" fillId="0" fontId="3" numFmtId="0" xfId="0" applyAlignment="1" applyFont="1">
      <alignment horizontal="left" shrinkToFit="0" vertical="center" wrapText="1"/>
    </xf>
    <xf borderId="13" fillId="0" fontId="15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left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shrinkToFit="0" wrapText="1"/>
    </xf>
    <xf borderId="1" fillId="6" fontId="16" numFmtId="0" xfId="0" applyAlignment="1" applyBorder="1" applyFill="1" applyFont="1">
      <alignment horizontal="right" shrinkToFit="0" wrapText="1"/>
    </xf>
    <xf borderId="1" fillId="6" fontId="18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ill="1" applyFont="1">
      <alignment shrinkToFit="0" wrapText="1"/>
    </xf>
    <xf borderId="1" fillId="6" fontId="16" numFmtId="0" xfId="0" applyAlignment="1" applyBorder="1" applyFill="1" applyFont="1">
      <alignment horizontal="center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ill="1" applyFont="1">
      <alignment horizontal="center" shrinkToFit="0" wrapText="1"/>
    </xf>
    <xf borderId="13" fillId="0" fontId="3" numFmtId="0" xfId="0" applyAlignment="1" applyBorder="1" applyFont="1">
      <alignment horizontal="left" readingOrder="0" shrinkToFit="0" vertical="center" wrapText="1"/>
    </xf>
    <xf borderId="1" fillId="2" fontId="19" numFmtId="0" xfId="0" applyAlignment="1" applyBorder="1" applyFill="1" applyFont="1">
      <alignment horizontal="left" shrinkToFit="0" wrapText="1"/>
    </xf>
    <xf borderId="1" fillId="2" fontId="20" numFmtId="0" xfId="0" applyAlignment="1" applyBorder="1" applyFill="1" applyFont="1">
      <alignment shrinkToFit="0" wrapText="1"/>
    </xf>
    <xf borderId="5" fillId="0" fontId="3" numFmtId="0" xfId="0" applyAlignment="1" applyBorder="1" applyFont="1">
      <alignment horizontal="left" shrinkToFit="0" wrapText="1"/>
    </xf>
    <xf borderId="0" fillId="0" fontId="9" numFmtId="0" xfId="0" applyAlignment="1" applyFont="1">
      <alignment horizontal="left" shrinkToFit="0" vertical="center" wrapText="1"/>
    </xf>
    <xf borderId="13" fillId="0" fontId="15" numFmtId="0" xfId="0" applyAlignment="1" applyBorder="1" applyFont="1">
      <alignment horizontal="center" shrinkToFit="0" vertical="center" wrapText="1"/>
    </xf>
    <xf borderId="10" fillId="5" fontId="3" numFmtId="0" xfId="0" applyAlignment="1" applyBorder="1" applyFill="1" applyFont="1">
      <alignment horizontal="center" shrinkToFit="0" vertical="center" wrapText="1"/>
    </xf>
    <xf borderId="8" fillId="0" fontId="15" numFmtId="0" xfId="0" applyAlignment="1" applyBorder="1" applyFont="1">
      <alignment horizontal="center" shrinkToFit="0" vertical="center" wrapText="1"/>
    </xf>
    <xf borderId="1" fillId="6" fontId="5" numFmtId="0" xfId="0" applyAlignment="1" applyBorder="1" applyFill="1" applyFont="1">
      <alignment horizontal="right" shrinkToFit="0" vertical="center" wrapText="1"/>
    </xf>
    <xf borderId="9" fillId="6" fontId="9" numFmtId="0" xfId="0" applyAlignment="1" applyBorder="1" applyFill="1" applyFont="1">
      <alignment horizontal="right" shrinkToFit="0" vertical="center" wrapText="1"/>
    </xf>
    <xf borderId="10" fillId="6" fontId="15" numFmtId="0" xfId="0" applyAlignment="1" applyBorder="1" applyFill="1" applyFont="1">
      <alignment horizontal="center" shrinkToFit="0" vertical="center" wrapText="1"/>
    </xf>
    <xf borderId="10" fillId="6" fontId="9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14" fillId="0" fontId="15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vertical="center"/>
    </xf>
    <xf borderId="7" fillId="0" fontId="9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 shrinkToFit="0" vertical="center" wrapText="1"/>
    </xf>
    <xf borderId="15" fillId="5" fontId="16" numFmtId="0" xfId="0" applyAlignment="1" applyBorder="1" applyFill="1" applyFont="1">
      <alignment horizontal="right" shrinkToFit="0" vertical="center" wrapText="1"/>
    </xf>
    <xf borderId="7" fillId="5" fontId="5" numFmtId="0" xfId="0" applyAlignment="1" applyBorder="1" applyFill="1" applyFont="1">
      <alignment horizontal="right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16" fillId="0" fontId="17" numFmtId="0" xfId="0" applyBorder="1" applyFont="1"/>
    <xf borderId="7" fillId="5" fontId="9" numFmtId="0" xfId="0" applyAlignment="1" applyBorder="1" applyFill="1" applyFont="1">
      <alignment horizontal="right" shrinkToFit="0" vertical="center" wrapText="1"/>
    </xf>
    <xf borderId="7" fillId="5" fontId="9" numFmtId="0" xfId="0" applyAlignment="1" applyBorder="1" applyFill="1" applyFont="1">
      <alignment horizontal="center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7" fillId="0" fontId="21" numFmtId="0" xfId="0" applyAlignment="1" applyBorder="1" applyFont="1">
      <alignment vertical="center"/>
    </xf>
    <xf borderId="14" fillId="0" fontId="4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shrinkToFit="0" vertical="center" wrapText="1"/>
    </xf>
    <xf borderId="15" fillId="6" fontId="16" numFmtId="0" xfId="0" applyAlignment="1" applyBorder="1" applyFill="1" applyFont="1">
      <alignment horizontal="right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7" fillId="6" fontId="16" numFmtId="0" xfId="0" applyAlignment="1" applyBorder="1" applyFill="1" applyFont="1">
      <alignment horizontal="center" shrinkToFit="0" vertical="center" wrapText="1"/>
    </xf>
    <xf borderId="7" fillId="6" fontId="7" numFmtId="0" xfId="0" applyAlignment="1" applyBorder="1" applyFill="1" applyFont="1">
      <alignment shrinkToFit="0" wrapText="1"/>
    </xf>
    <xf borderId="7" fillId="0" fontId="4" numFmtId="0" xfId="0" applyAlignment="1" applyBorder="1" applyFont="1">
      <alignment horizontal="center" shrinkToFit="0" vertical="center" wrapText="1"/>
    </xf>
    <xf borderId="7" fillId="6" fontId="5" numFmtId="0" xfId="0" applyAlignment="1" applyBorder="1" applyFill="1" applyFont="1">
      <alignment horizontal="center" shrinkToFit="0" wrapText="1"/>
    </xf>
    <xf borderId="7" fillId="6" fontId="16" numFmtId="0" xfId="0" applyAlignment="1" applyBorder="1" applyFill="1" applyFont="1">
      <alignment horizontal="right" shrinkToFit="0" wrapText="1"/>
    </xf>
    <xf borderId="7" fillId="0" fontId="13" numFmtId="0" xfId="0" applyAlignment="1" applyBorder="1" applyFont="1">
      <alignment horizontal="left" shrinkToFit="0" vertical="center" wrapText="1"/>
    </xf>
    <xf borderId="9" fillId="7" fontId="9" numFmtId="0" xfId="0" applyAlignment="1" applyBorder="1" applyFill="1" applyFont="1">
      <alignment horizontal="center" shrinkToFit="0" vertical="center" wrapText="1"/>
    </xf>
    <xf borderId="1" fillId="8" fontId="5" numFmtId="0" xfId="0" applyAlignment="1" applyBorder="1" applyFill="1" applyFont="1">
      <alignment horizontal="center" shrinkToFit="0" wrapText="1"/>
    </xf>
    <xf borderId="1" fillId="8" fontId="19" numFmtId="0" xfId="0" applyAlignment="1" applyBorder="1" applyFill="1" applyFont="1">
      <alignment horizontal="left" shrinkToFit="0" wrapText="1"/>
    </xf>
    <xf borderId="1" fillId="8" fontId="7" numFmtId="0" xfId="0" applyAlignment="1" applyBorder="1" applyFill="1" applyFont="1">
      <alignment shrinkToFit="0" wrapText="1"/>
    </xf>
    <xf borderId="0" fillId="0" fontId="14" numFmtId="0" xfId="0" applyAlignment="1" applyFont="1">
      <alignment horizontal="left" shrinkToFit="0" wrapText="1"/>
    </xf>
    <xf borderId="10" fillId="7" fontId="9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22" numFmtId="0" xfId="0" applyFont="1"/>
    <xf borderId="17" fillId="6" fontId="16" numFmtId="0" xfId="0" applyAlignment="1" applyBorder="1" applyFill="1" applyFont="1">
      <alignment horizontal="right" shrinkToFit="0" vertical="center" wrapText="1"/>
    </xf>
    <xf borderId="18" fillId="0" fontId="17" numFmtId="0" xfId="0" applyBorder="1" applyFont="1"/>
    <xf borderId="0" fillId="0" fontId="9" numFmtId="0" xfId="0" applyFont="1"/>
    <xf borderId="7" fillId="9" fontId="9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7" fillId="7" fontId="9" numFmtId="0" xfId="0" applyAlignment="1" applyBorder="1" applyFill="1" applyFont="1">
      <alignment horizontal="center" shrinkToFit="0" vertical="center" wrapText="1"/>
    </xf>
    <xf borderId="7" fillId="0" fontId="9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19" fillId="0" fontId="3" numFmtId="0" xfId="0" applyAlignment="1" applyBorder="1" applyFont="1">
      <alignment horizontal="left" shrinkToFit="0" vertical="center" wrapText="1"/>
    </xf>
    <xf borderId="20" fillId="0" fontId="3" numFmtId="0" xfId="0" applyAlignment="1" applyBorder="1" applyFont="1">
      <alignment horizontal="left" shrinkToFit="0" vertical="center" wrapText="1"/>
    </xf>
    <xf borderId="10" fillId="5" fontId="16" numFmtId="0" xfId="0" applyAlignment="1" applyBorder="1" applyFill="1" applyFont="1">
      <alignment horizontal="center" shrinkToFit="0" vertical="center" wrapText="1"/>
    </xf>
    <xf borderId="14" fillId="0" fontId="2" numFmtId="0" xfId="0" applyAlignment="1" applyBorder="1" applyFont="1">
      <alignment horizontal="center" readingOrder="0" shrinkToFit="0" vertical="center" wrapText="1"/>
    </xf>
    <xf borderId="7" fillId="7" fontId="2" numFmtId="0" xfId="0" applyAlignment="1" applyBorder="1" applyFill="1" applyFont="1">
      <alignment horizontal="center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4" numFmtId="0" xfId="0" applyFont="1"/>
    <xf borderId="7" fillId="10" fontId="9" numFmtId="0" xfId="0" applyAlignment="1" applyBorder="1" applyFill="1" applyFon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 readingOrder="0" shrinkToFit="0" vertical="center" wrapText="1"/>
    </xf>
    <xf borderId="21" fillId="0" fontId="17" numFmtId="0" xfId="0" applyBorder="1" applyFont="1"/>
    <xf borderId="7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22" fillId="0" fontId="25" numFmtId="0" xfId="0" applyAlignment="1" applyBorder="1" applyFont="1">
      <alignment horizontal="center"/>
    </xf>
    <xf borderId="23" fillId="0" fontId="17" numFmtId="0" xfId="0" applyBorder="1" applyFont="1"/>
    <xf borderId="24" fillId="0" fontId="17" numFmtId="0" xfId="0" applyBorder="1" applyFont="1"/>
    <xf borderId="0" fillId="0" fontId="25" numFmtId="0" xfId="0" applyFont="1"/>
    <xf borderId="25" fillId="0" fontId="26" numFmtId="0" xfId="0" applyAlignment="1" applyBorder="1" applyFont="1">
      <alignment horizontal="center"/>
    </xf>
    <xf borderId="26" fillId="0" fontId="17" numFmtId="0" xfId="0" applyBorder="1" applyFont="1"/>
    <xf borderId="25" fillId="0" fontId="25" numFmtId="0" xfId="0" applyAlignment="1" applyBorder="1" applyFont="1">
      <alignment horizontal="center"/>
    </xf>
    <xf borderId="0" fillId="0" fontId="25" numFmtId="0" xfId="0" applyAlignment="1" applyFont="1">
      <alignment horizontal="center"/>
    </xf>
    <xf borderId="26" fillId="0" fontId="25" numFmtId="0" xfId="0" applyAlignment="1" applyBorder="1" applyFont="1">
      <alignment horizontal="center"/>
    </xf>
    <xf borderId="0" fillId="0" fontId="26" numFmtId="0" xfId="0" applyFont="1"/>
    <xf borderId="0" fillId="0" fontId="26" numFmtId="0" xfId="0" applyAlignment="1" applyFont="1">
      <alignment horizontal="center"/>
    </xf>
    <xf borderId="26" fillId="0" fontId="26" numFmtId="0" xfId="0" applyAlignment="1" applyBorder="1" applyFont="1">
      <alignment horizontal="center"/>
    </xf>
    <xf borderId="25" fillId="0" fontId="25" numFmtId="0" xfId="0" applyBorder="1" applyFont="1"/>
    <xf borderId="5" fillId="0" fontId="26" numFmtId="0" xfId="0" applyAlignment="1" applyBorder="1" applyFont="1">
      <alignment horizontal="center" vertical="center"/>
    </xf>
    <xf borderId="27" fillId="0" fontId="26" numFmtId="0" xfId="0" applyAlignment="1" applyBorder="1" applyFont="1">
      <alignment horizontal="center" vertical="center"/>
    </xf>
    <xf borderId="28" fillId="0" fontId="26" numFmtId="0" xfId="0" applyAlignment="1" applyBorder="1" applyFont="1">
      <alignment horizontal="center" vertical="center"/>
    </xf>
    <xf borderId="29" fillId="0" fontId="25" numFmtId="0" xfId="0" applyBorder="1" applyFont="1"/>
    <xf borderId="29" fillId="0" fontId="26" numFmtId="0" xfId="0" applyAlignment="1" applyBorder="1" applyFont="1">
      <alignment horizontal="center" vertical="center"/>
    </xf>
    <xf borderId="29" fillId="11" fontId="27" numFmtId="0" xfId="0" applyAlignment="1" applyBorder="1" applyFill="1" applyFont="1">
      <alignment horizontal="center" vertical="center"/>
    </xf>
    <xf borderId="29" fillId="12" fontId="28" numFmtId="0" xfId="0" applyAlignment="1" applyBorder="1" applyFill="1" applyFont="1">
      <alignment horizontal="center" vertical="center"/>
    </xf>
    <xf borderId="29" fillId="13" fontId="28" numFmtId="0" xfId="0" applyAlignment="1" applyBorder="1" applyFill="1" applyFont="1">
      <alignment horizontal="center" shrinkToFit="0" vertical="center" wrapText="1"/>
    </xf>
    <xf borderId="7" fillId="0" fontId="25" numFmtId="0" xfId="0" applyAlignment="1" applyBorder="1" applyFont="1">
      <alignment horizontal="center" vertical="center"/>
    </xf>
    <xf borderId="0" fillId="0" fontId="26" numFmtId="0" xfId="0" applyAlignment="1" applyFont="1">
      <alignment horizontal="center" vertical="bottom"/>
    </xf>
    <xf borderId="0" fillId="0" fontId="24" numFmtId="0" xfId="0" applyAlignment="1" applyFont="1">
      <alignment vertical="bottom"/>
    </xf>
    <xf borderId="0" fillId="0" fontId="25" numFmtId="0" xfId="0" applyAlignment="1" applyFont="1">
      <alignment horizontal="center" vertical="bottom"/>
    </xf>
    <xf borderId="7" fillId="0" fontId="25" numFmtId="0" xfId="0" applyAlignment="1" applyBorder="1" applyFont="1">
      <alignment horizontal="left"/>
    </xf>
    <xf borderId="0" fillId="0" fontId="29" numFmtId="0" xfId="0" applyAlignment="1" applyFont="1">
      <alignment shrinkToFit="0" wrapText="1"/>
    </xf>
    <xf borderId="22" fillId="0" fontId="25" numFmtId="0" xfId="0" applyAlignment="1" applyBorder="1" applyFont="1">
      <alignment vertical="center"/>
    </xf>
    <xf borderId="23" fillId="0" fontId="26" numFmtId="0" xfId="0" applyAlignment="1" applyBorder="1" applyFont="1">
      <alignment shrinkToFit="0" vertical="center" wrapText="0"/>
    </xf>
    <xf borderId="9" fillId="11" fontId="25" numFmtId="165" xfId="0" applyAlignment="1" applyBorder="1" applyFill="1" applyFont="1" applyNumberFormat="1">
      <alignment horizontal="center" vertical="center"/>
    </xf>
    <xf borderId="23" fillId="0" fontId="26" numFmtId="0" xfId="0" applyAlignment="1" applyBorder="1" applyFont="1">
      <alignment shrinkToFit="0" wrapText="1"/>
    </xf>
    <xf borderId="23" fillId="0" fontId="25" numFmtId="0" xfId="0" applyAlignment="1" applyBorder="1" applyFont="1">
      <alignment readingOrder="0" shrinkToFit="0" vertical="center" wrapText="0"/>
    </xf>
    <xf borderId="9" fillId="12" fontId="25" numFmtId="2" xfId="0" applyAlignment="1" applyBorder="1" applyFill="1" applyFont="1" applyNumberFormat="1">
      <alignment horizontal="center" vertical="center"/>
    </xf>
    <xf borderId="23" fillId="0" fontId="26" numFmtId="0" xfId="0" applyAlignment="1" applyBorder="1" applyFont="1">
      <alignment readingOrder="0" shrinkToFit="0" wrapText="1"/>
    </xf>
    <xf borderId="7" fillId="13" fontId="25" numFmtId="2" xfId="0" applyAlignment="1" applyBorder="1" applyFill="1" applyFont="1" applyNumberFormat="1">
      <alignment horizontal="center" vertical="center"/>
    </xf>
    <xf borderId="0" fillId="0" fontId="26" numFmtId="4" xfId="0" applyAlignment="1" applyFont="1" applyNumberFormat="1">
      <alignment horizontal="left" shrinkToFit="0" wrapText="0"/>
    </xf>
    <xf borderId="0" fillId="0" fontId="26" numFmtId="4" xfId="0" applyAlignment="1" applyFont="1" applyNumberFormat="1">
      <alignment horizontal="left" shrinkToFit="0" wrapText="1"/>
    </xf>
    <xf borderId="8" fillId="0" fontId="25" numFmtId="0" xfId="0" applyAlignment="1" applyBorder="1" applyFont="1">
      <alignment horizontal="center" vertical="center"/>
    </xf>
    <xf borderId="0" fillId="0" fontId="25" numFmtId="4" xfId="0" applyAlignment="1" applyFont="1" applyNumberFormat="1">
      <alignment horizontal="left" readingOrder="0" shrinkToFit="0" wrapText="0"/>
    </xf>
    <xf borderId="0" fillId="0" fontId="26" numFmtId="4" xfId="0" applyAlignment="1" applyFont="1" applyNumberFormat="1">
      <alignment horizontal="left" readingOrder="0" shrinkToFit="0" wrapText="0"/>
    </xf>
    <xf borderId="8" fillId="0" fontId="25" numFmtId="0" xfId="0" applyAlignment="1" applyBorder="1" applyFont="1">
      <alignment horizontal="left"/>
    </xf>
    <xf borderId="0" fillId="0" fontId="26" numFmtId="0" xfId="0" applyAlignment="1" applyFont="1">
      <alignment shrinkToFit="0" wrapText="0"/>
    </xf>
    <xf borderId="0" fillId="0" fontId="25" numFmtId="0" xfId="0" applyAlignment="1" applyFont="1">
      <alignment readingOrder="0" shrinkToFit="0" wrapText="0"/>
    </xf>
    <xf borderId="0" fillId="0" fontId="26" numFmtId="0" xfId="0" applyAlignment="1" applyFont="1">
      <alignment readingOrder="0" shrinkToFit="0" wrapText="0"/>
    </xf>
    <xf borderId="0" fillId="0" fontId="26" numFmtId="0" xfId="0" applyAlignment="1" applyFont="1">
      <alignment shrinkToFit="0" wrapText="1"/>
    </xf>
    <xf borderId="19" fillId="0" fontId="25" numFmtId="0" xfId="0" applyBorder="1" applyFont="1"/>
    <xf borderId="20" fillId="0" fontId="17" numFmtId="0" xfId="0" applyBorder="1" applyFont="1"/>
    <xf borderId="20" fillId="0" fontId="26" numFmtId="0" xfId="0" applyAlignment="1" applyBorder="1" applyFont="1">
      <alignment readingOrder="0" shrinkToFit="0" wrapText="0"/>
    </xf>
    <xf borderId="20" fillId="0" fontId="25" numFmtId="0" xfId="0" applyAlignment="1" applyBorder="1" applyFont="1">
      <alignment readingOrder="0" shrinkToFit="0" wrapText="0"/>
    </xf>
    <xf borderId="20" fillId="0" fontId="26" numFmtId="0" xfId="0" applyAlignment="1" applyBorder="1" applyFont="1">
      <alignment readingOrder="0" shrinkToFit="0" wrapText="1"/>
    </xf>
    <xf borderId="9" fillId="13" fontId="25" numFmtId="2" xfId="0" applyAlignment="1" applyBorder="1" applyFill="1" applyFont="1" applyNumberFormat="1">
      <alignment horizontal="center" vertical="center"/>
    </xf>
    <xf borderId="30" fillId="0" fontId="26" numFmtId="0" xfId="0" applyAlignment="1" applyBorder="1" applyFont="1">
      <alignment readingOrder="0" shrinkToFit="0" wrapText="0"/>
    </xf>
    <xf borderId="0" fillId="0" fontId="26" numFmtId="0" xfId="0" applyAlignment="1" applyFont="1">
      <alignment horizontal="left"/>
    </xf>
    <xf borderId="31" fillId="0" fontId="26" numFmtId="0" xfId="0" applyAlignment="1" applyBorder="1" applyFont="1">
      <alignment horizontal="center" vertical="center"/>
    </xf>
    <xf borderId="32" fillId="14" fontId="27" numFmtId="0" xfId="0" applyAlignment="1" applyBorder="1" applyFill="1" applyFont="1">
      <alignment horizontal="center" shrinkToFit="0" vertical="center" wrapText="1"/>
    </xf>
    <xf borderId="33" fillId="0" fontId="17" numFmtId="0" xfId="0" applyBorder="1" applyFont="1"/>
    <xf borderId="0" fillId="0" fontId="25" numFmtId="0" xfId="0" applyAlignment="1" applyFont="1">
      <alignment horizontal="center" shrinkToFit="0" wrapText="1"/>
    </xf>
    <xf borderId="34" fillId="0" fontId="17" numFmtId="0" xfId="0" applyBorder="1" applyFont="1"/>
    <xf borderId="32" fillId="14" fontId="28" numFmtId="0" xfId="0" applyAlignment="1" applyBorder="1" applyFill="1" applyFont="1">
      <alignment horizontal="center" shrinkToFit="0" vertical="center" wrapText="1"/>
    </xf>
    <xf borderId="31" fillId="14" fontId="27" numFmtId="0" xfId="0" applyAlignment="1" applyBorder="1" applyFill="1" applyFont="1">
      <alignment horizontal="center" shrinkToFit="0" vertical="center" wrapText="1"/>
    </xf>
    <xf borderId="17" fillId="14" fontId="28" numFmtId="0" xfId="0" applyAlignment="1" applyBorder="1" applyFill="1" applyFont="1">
      <alignment horizontal="center" shrinkToFit="0" vertical="center" wrapText="1"/>
    </xf>
    <xf borderId="8" fillId="0" fontId="26" numFmtId="0" xfId="0" applyAlignment="1" applyBorder="1" applyFont="1">
      <alignment horizontal="center" vertical="center"/>
    </xf>
    <xf borderId="8" fillId="0" fontId="26" numFmtId="0" xfId="0" applyAlignment="1" applyBorder="1" applyFont="1">
      <alignment horizontal="left" vertical="center"/>
    </xf>
    <xf borderId="11" fillId="14" fontId="30" numFmtId="1" xfId="0" applyAlignment="1" applyBorder="1" applyFill="1" applyFont="1" applyNumberFormat="1">
      <alignment horizontal="left" readingOrder="0" shrinkToFit="0" vertical="center" wrapText="1"/>
    </xf>
    <xf borderId="35" fillId="0" fontId="17" numFmtId="0" xfId="0" applyBorder="1" applyFont="1"/>
    <xf borderId="36" fillId="14" fontId="25" numFmtId="2" xfId="0" applyAlignment="1" applyBorder="1" applyFill="1" applyFont="1" applyNumberFormat="1">
      <alignment horizontal="center" readingOrder="0" vertical="center"/>
    </xf>
    <xf borderId="15" fillId="14" fontId="25" numFmtId="2" xfId="0" applyAlignment="1" applyBorder="1" applyFill="1" applyFont="1" applyNumberFormat="1">
      <alignment horizontal="center" vertical="center"/>
    </xf>
    <xf borderId="9" fillId="14" fontId="26" numFmtId="2" xfId="0" applyAlignment="1" applyBorder="1" applyFill="1" applyFont="1" applyNumberFormat="1">
      <alignment horizontal="center" vertical="center"/>
    </xf>
    <xf borderId="9" fillId="14" fontId="25" numFmtId="2" xfId="0" applyAlignment="1" applyBorder="1" applyFill="1" applyFont="1" applyNumberFormat="1">
      <alignment horizontal="center" vertical="center"/>
    </xf>
    <xf borderId="1" fillId="14" fontId="28" numFmtId="0" xfId="0" applyAlignment="1" applyBorder="1" applyFill="1" applyFont="1">
      <alignment horizontal="center" shrinkToFit="0" vertical="center" wrapText="1"/>
    </xf>
    <xf borderId="7" fillId="0" fontId="26" numFmtId="0" xfId="0" applyAlignment="1" applyBorder="1" applyFont="1">
      <alignment horizontal="center" vertical="center"/>
    </xf>
    <xf borderId="7" fillId="0" fontId="26" numFmtId="0" xfId="0" applyAlignment="1" applyBorder="1" applyFont="1">
      <alignment horizontal="left" vertical="center"/>
    </xf>
    <xf borderId="11" fillId="14" fontId="30" numFmtId="1" xfId="0" applyAlignment="1" applyBorder="1" applyFill="1" applyFont="1" applyNumberFormat="1">
      <alignment horizontal="left" shrinkToFit="0" vertical="center" wrapText="1"/>
    </xf>
    <xf borderId="36" fillId="14" fontId="25" numFmtId="165" xfId="0" applyAlignment="1" applyBorder="1" applyFill="1" applyFont="1" applyNumberFormat="1">
      <alignment horizontal="center" vertical="center"/>
    </xf>
    <xf borderId="8" fillId="0" fontId="31" numFmtId="0" xfId="0" applyAlignment="1" applyBorder="1" applyFont="1">
      <alignment horizontal="center" vertical="center"/>
    </xf>
    <xf borderId="8" fillId="0" fontId="32" numFmtId="0" xfId="0" applyAlignment="1" applyBorder="1" applyFont="1">
      <alignment horizontal="left" vertical="center"/>
    </xf>
    <xf borderId="36" fillId="14" fontId="30" numFmtId="1" xfId="0" applyAlignment="1" applyBorder="1" applyFill="1" applyFont="1" applyNumberFormat="1">
      <alignment horizontal="left" shrinkToFit="0" vertical="center" wrapText="1"/>
    </xf>
    <xf borderId="19" fillId="0" fontId="25" numFmtId="0" xfId="0" applyAlignment="1" applyBorder="1" applyFont="1">
      <alignment horizontal="center"/>
    </xf>
    <xf borderId="30" fillId="0" fontId="17" numFmtId="0" xfId="0" applyBorder="1" applyFont="1"/>
    <xf borderId="0" fillId="0" fontId="26" numFmtId="0" xfId="0" applyAlignment="1" applyFont="1">
      <alignment horizontal="center" readingOrder="0"/>
    </xf>
    <xf borderId="0" fillId="0" fontId="25" numFmtId="0" xfId="0" applyAlignment="1" applyFont="1">
      <alignment horizontal="center" readingOrder="0"/>
    </xf>
    <xf borderId="0" fillId="0" fontId="3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2686050</xdr:colOff>
      <xdr:row>0</xdr:row>
      <xdr:rowOff>0</xdr:rowOff>
    </xdr:from>
    <xdr:ext cx="628650" cy="809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1828800</xdr:colOff>
      <xdr:row>0</xdr:row>
      <xdr:rowOff>57150</xdr:rowOff>
    </xdr:from>
    <xdr:ext cx="79057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71.57"/>
    <col customWidth="1" min="2" max="2" width="53.14"/>
    <col customWidth="1" min="3" max="3" width="37.0"/>
    <col customWidth="1" min="4" max="4" width="42.0"/>
    <col customWidth="1" min="5" max="8" width="47.57"/>
    <col customWidth="1" min="9" max="11" width="7.86"/>
    <col customWidth="1" min="12" max="20" width="8.71"/>
  </cols>
  <sheetData>
    <row r="1" ht="63.75" customHeight="1">
      <c r="A1" s="1" t="s">
        <v>0</v>
      </c>
      <c r="D1" s="1"/>
      <c r="E1" s="2" t="s">
        <v>1</v>
      </c>
      <c r="F1" s="1" t="s">
        <v>2</v>
      </c>
      <c r="G1" s="2" t="s">
        <v>3</v>
      </c>
      <c r="H1" s="3">
        <v>46196.0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5"/>
      <c r="W1" s="5"/>
    </row>
    <row r="2" ht="9.0" customHeight="1">
      <c r="A2" s="6"/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9"/>
      <c r="V2" s="9"/>
      <c r="W2" s="9"/>
    </row>
    <row r="3" ht="40.5" customHeight="1">
      <c r="A3" s="10" t="s">
        <v>5</v>
      </c>
      <c r="B3" s="11"/>
      <c r="C3" s="12"/>
      <c r="D3" s="13"/>
      <c r="E3" s="14"/>
      <c r="F3" s="13"/>
      <c r="G3" s="14"/>
      <c r="H3" s="13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  <c r="V3" s="9"/>
      <c r="W3" s="9"/>
    </row>
    <row r="4" ht="44.25" customHeight="1">
      <c r="A4" s="15" t="s">
        <v>6</v>
      </c>
      <c r="B4" s="16" t="s">
        <v>7</v>
      </c>
      <c r="C4" s="17" t="s">
        <v>8</v>
      </c>
      <c r="D4" s="18" t="s">
        <v>9</v>
      </c>
      <c r="E4" s="19"/>
      <c r="F4" s="21" t="s">
        <v>9</v>
      </c>
      <c r="G4" s="22" t="s">
        <v>10</v>
      </c>
      <c r="H4" s="21" t="s">
        <v>9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/>
      <c r="V4" s="9"/>
      <c r="W4" s="9"/>
    </row>
    <row r="5" ht="89.25" customHeight="1">
      <c r="A5" s="25" t="s">
        <v>11</v>
      </c>
      <c r="B5" s="26" t="s">
        <v>12</v>
      </c>
      <c r="C5" s="29"/>
      <c r="D5" s="26"/>
      <c r="E5" s="32"/>
      <c r="F5" s="26"/>
      <c r="G5" s="32"/>
      <c r="H5" s="26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9"/>
      <c r="V5" s="9"/>
      <c r="W5" s="9"/>
    </row>
    <row r="6" ht="89.25" customHeight="1">
      <c r="A6" s="25" t="s">
        <v>13</v>
      </c>
      <c r="B6" s="26" t="s">
        <v>14</v>
      </c>
      <c r="C6" s="34"/>
      <c r="D6" s="26"/>
      <c r="E6" s="32"/>
      <c r="F6" s="26"/>
      <c r="G6" s="32"/>
      <c r="H6" s="26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/>
      <c r="V6" s="9"/>
      <c r="W6" s="9"/>
    </row>
    <row r="7" ht="43.5" customHeight="1">
      <c r="A7" s="35"/>
      <c r="B7" s="36" t="s">
        <v>15</v>
      </c>
      <c r="C7" s="38">
        <f>SUM(C5:C6)</f>
        <v>0</v>
      </c>
      <c r="D7" s="39"/>
      <c r="E7" s="39">
        <f>SUM(E5:E6)</f>
        <v>0</v>
      </c>
      <c r="F7" s="39"/>
      <c r="G7" s="39">
        <f>SUM(G5:G6)</f>
        <v>0</v>
      </c>
      <c r="H7" s="39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9"/>
      <c r="V7" s="9"/>
      <c r="W7" s="9"/>
    </row>
    <row r="8" ht="43.5" customHeight="1">
      <c r="A8" s="15" t="s">
        <v>16</v>
      </c>
      <c r="B8" s="24" t="s">
        <v>7</v>
      </c>
      <c r="C8" s="40" t="str">
        <f>C4</f>
        <v>Jhonrey A. Cañete</v>
      </c>
      <c r="D8" s="21" t="s">
        <v>9</v>
      </c>
      <c r="E8" s="21" t="str">
        <f>E4</f>
        <v/>
      </c>
      <c r="F8" s="21" t="s">
        <v>9</v>
      </c>
      <c r="G8" s="21" t="str">
        <f>G4</f>
        <v>-</v>
      </c>
      <c r="H8" s="21" t="s">
        <v>9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9"/>
      <c r="V8" s="9"/>
      <c r="W8" s="9"/>
    </row>
    <row r="9" ht="93.75" customHeight="1">
      <c r="A9" s="26" t="s">
        <v>18</v>
      </c>
      <c r="B9" s="26" t="s">
        <v>19</v>
      </c>
      <c r="C9" s="34"/>
      <c r="D9" s="26"/>
      <c r="E9" s="32"/>
      <c r="F9" s="26"/>
      <c r="G9" s="32"/>
      <c r="H9" s="26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9"/>
      <c r="V9" s="9"/>
      <c r="W9" s="9"/>
    </row>
    <row r="10" ht="43.5" customHeight="1">
      <c r="A10" s="35"/>
      <c r="B10" s="36" t="s">
        <v>15</v>
      </c>
      <c r="C10" s="38">
        <f>SUM((C9))</f>
        <v>0</v>
      </c>
      <c r="D10" s="39"/>
      <c r="E10" s="39">
        <f>SUM((E9))</f>
        <v>0</v>
      </c>
      <c r="F10" s="39"/>
      <c r="G10" s="39">
        <f>SUM((G9))</f>
        <v>0</v>
      </c>
      <c r="H10" s="39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9"/>
      <c r="W10" s="9"/>
    </row>
    <row r="11" ht="44.25" customHeight="1">
      <c r="A11" s="43" t="s">
        <v>20</v>
      </c>
      <c r="B11" s="24" t="s">
        <v>7</v>
      </c>
      <c r="C11" s="40" t="str">
        <f>C4</f>
        <v>Jhonrey A. Cañete</v>
      </c>
      <c r="D11" s="21" t="s">
        <v>9</v>
      </c>
      <c r="E11" s="21" t="str">
        <f>E4</f>
        <v/>
      </c>
      <c r="F11" s="21" t="s">
        <v>9</v>
      </c>
      <c r="G11" s="21" t="str">
        <f>G4</f>
        <v>-</v>
      </c>
      <c r="H11" s="21" t="s">
        <v>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9"/>
      <c r="V11" s="9"/>
      <c r="W11" s="9"/>
    </row>
    <row r="12" ht="81.0" customHeight="1">
      <c r="A12" s="44" t="s">
        <v>21</v>
      </c>
      <c r="B12" s="44" t="s">
        <v>22</v>
      </c>
      <c r="C12" s="45"/>
      <c r="D12" s="46"/>
      <c r="E12" s="47"/>
      <c r="F12" s="46"/>
      <c r="G12" s="47"/>
      <c r="H12" s="4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9"/>
      <c r="V12" s="9"/>
      <c r="W12" s="9"/>
    </row>
    <row r="13" ht="81.0" customHeight="1">
      <c r="A13" s="44" t="s">
        <v>23</v>
      </c>
      <c r="B13" s="44" t="s">
        <v>24</v>
      </c>
      <c r="C13" s="45"/>
      <c r="D13" s="46"/>
      <c r="E13" s="47"/>
      <c r="F13" s="46"/>
      <c r="G13" s="47"/>
      <c r="H13" s="4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9"/>
      <c r="V13" s="9"/>
      <c r="W13" s="9"/>
    </row>
    <row r="14" ht="81.0" customHeight="1">
      <c r="A14" s="25" t="s">
        <v>25</v>
      </c>
      <c r="B14" s="26" t="s">
        <v>26</v>
      </c>
      <c r="C14" s="34"/>
      <c r="D14" s="26"/>
      <c r="E14" s="32"/>
      <c r="F14" s="26"/>
      <c r="G14" s="32"/>
      <c r="H14" s="2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9"/>
      <c r="V14" s="9"/>
      <c r="W14" s="9"/>
    </row>
    <row r="15" ht="43.5" customHeight="1">
      <c r="A15" s="35"/>
      <c r="B15" s="36" t="s">
        <v>15</v>
      </c>
      <c r="C15" s="38">
        <f>SUM(C12:C14)</f>
        <v>0</v>
      </c>
      <c r="D15" s="39"/>
      <c r="E15" s="39">
        <f>SUM(E12:E14)</f>
        <v>0</v>
      </c>
      <c r="F15" s="39"/>
      <c r="G15" s="39">
        <f>SUM(G12:G14)</f>
        <v>0</v>
      </c>
      <c r="H15" s="39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9"/>
      <c r="V15" s="9"/>
      <c r="W15" s="9"/>
    </row>
    <row r="16" ht="43.5" customHeight="1">
      <c r="A16" s="43" t="s">
        <v>28</v>
      </c>
      <c r="B16" s="24" t="s">
        <v>7</v>
      </c>
      <c r="C16" s="40" t="str">
        <f>C11</f>
        <v>Jhonrey A. Cañete</v>
      </c>
      <c r="D16" s="21" t="s">
        <v>9</v>
      </c>
      <c r="E16" s="21" t="str">
        <f>E11</f>
        <v/>
      </c>
      <c r="F16" s="21" t="s">
        <v>9</v>
      </c>
      <c r="G16" s="21" t="str">
        <f>G11</f>
        <v>-</v>
      </c>
      <c r="H16" s="21" t="s">
        <v>9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9"/>
      <c r="V16" s="9"/>
      <c r="W16" s="9"/>
    </row>
    <row r="17" ht="55.5" customHeight="1">
      <c r="A17" s="25" t="s">
        <v>30</v>
      </c>
      <c r="B17" s="26" t="s">
        <v>31</v>
      </c>
      <c r="C17" s="34"/>
      <c r="D17" s="26"/>
      <c r="E17" s="32"/>
      <c r="F17" s="26"/>
      <c r="G17" s="32"/>
      <c r="H17" s="2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</row>
    <row r="18" ht="49.5" customHeight="1">
      <c r="A18" s="26" t="s">
        <v>32</v>
      </c>
      <c r="B18" s="26" t="s">
        <v>33</v>
      </c>
      <c r="C18" s="34"/>
      <c r="D18" s="26"/>
      <c r="E18" s="32"/>
      <c r="F18" s="26"/>
      <c r="G18" s="32"/>
      <c r="H18" s="2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9"/>
      <c r="V18" s="9"/>
      <c r="W18" s="9"/>
    </row>
    <row r="19" ht="43.5" customHeight="1">
      <c r="A19" s="35"/>
      <c r="B19" s="36" t="s">
        <v>15</v>
      </c>
      <c r="C19" s="38">
        <f>SUM(C17:C18)</f>
        <v>0</v>
      </c>
      <c r="D19" s="39"/>
      <c r="E19" s="39">
        <f>SUM(E17:E18)</f>
        <v>0</v>
      </c>
      <c r="F19" s="39"/>
      <c r="G19" s="39">
        <f>SUM(G17:G18)</f>
        <v>0</v>
      </c>
      <c r="H19" s="39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9"/>
      <c r="V19" s="9"/>
      <c r="W19" s="9"/>
    </row>
    <row r="20" ht="37.5" customHeight="1">
      <c r="A20" s="48"/>
      <c r="B20" s="49" t="s">
        <v>34</v>
      </c>
      <c r="C20" s="50">
        <f>SUM(C7,C10,C15,C19)</f>
        <v>0</v>
      </c>
      <c r="D20" s="51"/>
      <c r="E20" s="52">
        <f>SUM(E7,E10,E15,E19)</f>
        <v>0</v>
      </c>
      <c r="F20" s="51"/>
      <c r="G20" s="52">
        <f>SUM(G7,G10,G15,G19)</f>
        <v>0</v>
      </c>
      <c r="H20" s="51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9"/>
      <c r="V20" s="9"/>
      <c r="W20" s="9"/>
    </row>
    <row r="21" ht="37.5" customHeight="1">
      <c r="A21" s="54" t="s">
        <v>38</v>
      </c>
      <c r="B21" s="56"/>
      <c r="C21" s="57"/>
      <c r="D21" s="13"/>
      <c r="E21" s="13"/>
      <c r="F21" s="13"/>
      <c r="G21" s="13"/>
      <c r="H21" s="13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9"/>
      <c r="V21" s="9"/>
      <c r="W21" s="9"/>
    </row>
    <row r="22" ht="44.25" customHeight="1">
      <c r="A22" s="58"/>
      <c r="B22" s="24" t="s">
        <v>40</v>
      </c>
      <c r="C22" s="40" t="str">
        <f>C16</f>
        <v>Jhonrey A. Cañete</v>
      </c>
      <c r="D22" s="21" t="s">
        <v>9</v>
      </c>
      <c r="E22" s="21" t="str">
        <f>E16</f>
        <v/>
      </c>
      <c r="F22" s="21" t="s">
        <v>9</v>
      </c>
      <c r="G22" s="21" t="str">
        <f>G16</f>
        <v>-</v>
      </c>
      <c r="H22" s="21" t="s">
        <v>9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9"/>
      <c r="V22" s="9"/>
      <c r="W22" s="9"/>
    </row>
    <row r="23" ht="48.75" customHeight="1">
      <c r="A23" s="59" t="s">
        <v>43</v>
      </c>
      <c r="B23" s="44" t="s">
        <v>44</v>
      </c>
      <c r="C23" s="60"/>
      <c r="D23" s="46"/>
      <c r="E23" s="47"/>
      <c r="F23" s="46"/>
      <c r="G23" s="47"/>
      <c r="H23" s="4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9"/>
      <c r="V23" s="9"/>
      <c r="W23" s="9"/>
    </row>
    <row r="24" ht="48.75" customHeight="1">
      <c r="A24" s="59" t="s">
        <v>45</v>
      </c>
      <c r="B24" s="44" t="s">
        <v>46</v>
      </c>
      <c r="C24" s="60"/>
      <c r="D24" s="46"/>
      <c r="E24" s="47"/>
      <c r="F24" s="46"/>
      <c r="G24" s="47"/>
      <c r="H24" s="4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9"/>
      <c r="V24" s="9"/>
      <c r="W24" s="9"/>
    </row>
    <row r="25" ht="48.75" customHeight="1">
      <c r="A25" s="59" t="s">
        <v>47</v>
      </c>
      <c r="B25" s="44" t="s">
        <v>48</v>
      </c>
      <c r="C25" s="60"/>
      <c r="D25" s="46"/>
      <c r="E25" s="47"/>
      <c r="F25" s="46"/>
      <c r="G25" s="47"/>
      <c r="H25" s="4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9"/>
      <c r="V25" s="9"/>
      <c r="W25" s="9"/>
    </row>
    <row r="26" ht="48.75" customHeight="1">
      <c r="A26" s="59" t="s">
        <v>49</v>
      </c>
      <c r="B26" s="44" t="s">
        <v>50</v>
      </c>
      <c r="C26" s="60"/>
      <c r="D26" s="46"/>
      <c r="E26" s="47"/>
      <c r="F26" s="46"/>
      <c r="G26" s="47"/>
      <c r="H26" s="4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9"/>
      <c r="V26" s="9"/>
      <c r="W26" s="9"/>
    </row>
    <row r="27" ht="48.75" customHeight="1">
      <c r="A27" s="25" t="s">
        <v>51</v>
      </c>
      <c r="B27" s="26" t="s">
        <v>52</v>
      </c>
      <c r="C27" s="62"/>
      <c r="D27" s="26"/>
      <c r="E27" s="32"/>
      <c r="F27" s="26"/>
      <c r="G27" s="32"/>
      <c r="H27" s="2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9"/>
      <c r="V27" s="9"/>
      <c r="W27" s="9"/>
    </row>
    <row r="28" ht="43.5" customHeight="1">
      <c r="A28" s="63"/>
      <c r="B28" s="64" t="s">
        <v>34</v>
      </c>
      <c r="C28" s="65">
        <f>SUM(C23:C27)</f>
        <v>0</v>
      </c>
      <c r="D28" s="66"/>
      <c r="E28" s="66">
        <f>SUM(E23:E27)</f>
        <v>0</v>
      </c>
      <c r="F28" s="66"/>
      <c r="G28" s="66">
        <f>SUM(G23:G27)</f>
        <v>0</v>
      </c>
      <c r="H28" s="6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9"/>
      <c r="V28" s="9"/>
      <c r="W28" s="9"/>
    </row>
    <row r="29" ht="45.0" customHeight="1">
      <c r="A29" s="10" t="s">
        <v>55</v>
      </c>
      <c r="B29" s="13"/>
      <c r="C29" s="57"/>
      <c r="D29" s="13"/>
      <c r="E29" s="13"/>
      <c r="F29" s="13"/>
      <c r="G29" s="13"/>
      <c r="H29" s="13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9"/>
      <c r="V29" s="9"/>
      <c r="W29" s="9"/>
    </row>
    <row r="30" ht="43.5" customHeight="1">
      <c r="A30" s="67"/>
      <c r="B30" s="24" t="s">
        <v>57</v>
      </c>
      <c r="C30" s="68"/>
      <c r="D30" s="69" t="s">
        <v>9</v>
      </c>
      <c r="E30" s="69"/>
      <c r="F30" s="69" t="s">
        <v>9</v>
      </c>
      <c r="G30" s="69"/>
      <c r="H30" s="69" t="s">
        <v>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5"/>
      <c r="V30" s="5"/>
      <c r="W30" s="5"/>
    </row>
    <row r="31" ht="43.5" customHeight="1">
      <c r="A31" s="70" t="s">
        <v>61</v>
      </c>
      <c r="B31" s="71" t="s">
        <v>62</v>
      </c>
      <c r="C31" s="72"/>
      <c r="D31" s="75"/>
      <c r="E31" s="75"/>
      <c r="F31" s="75"/>
      <c r="G31" s="75"/>
      <c r="H31" s="7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  <c r="V31" s="5"/>
      <c r="W31" s="5"/>
    </row>
    <row r="32" ht="43.5" customHeight="1">
      <c r="A32" s="70" t="s">
        <v>63</v>
      </c>
      <c r="B32" s="71" t="s">
        <v>62</v>
      </c>
      <c r="C32" s="72"/>
      <c r="D32" s="75"/>
      <c r="E32" s="75"/>
      <c r="F32" s="75"/>
      <c r="G32" s="75"/>
      <c r="H32" s="7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5"/>
      <c r="V32" s="5"/>
      <c r="W32" s="5"/>
    </row>
    <row r="33" ht="43.5" customHeight="1">
      <c r="A33" s="70" t="s">
        <v>64</v>
      </c>
      <c r="B33" s="71" t="s">
        <v>62</v>
      </c>
      <c r="C33" s="72"/>
      <c r="D33" s="75"/>
      <c r="E33" s="75"/>
      <c r="F33" s="75"/>
      <c r="G33" s="75"/>
      <c r="H33" s="7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  <c r="V33" s="5"/>
      <c r="W33" s="5"/>
    </row>
    <row r="34" ht="43.5" customHeight="1">
      <c r="A34" s="70" t="s">
        <v>65</v>
      </c>
      <c r="B34" s="71" t="s">
        <v>66</v>
      </c>
      <c r="C34" s="72"/>
      <c r="D34" s="75"/>
      <c r="E34" s="75"/>
      <c r="F34" s="75"/>
      <c r="G34" s="75"/>
      <c r="H34" s="7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5"/>
      <c r="V34" s="5"/>
      <c r="W34" s="5"/>
    </row>
    <row r="35" ht="43.5" customHeight="1">
      <c r="A35" s="70" t="s">
        <v>67</v>
      </c>
      <c r="B35" s="71" t="s">
        <v>66</v>
      </c>
      <c r="C35" s="72"/>
      <c r="D35" s="75"/>
      <c r="E35" s="75"/>
      <c r="F35" s="75"/>
      <c r="G35" s="75"/>
      <c r="H35" s="7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5"/>
      <c r="V35" s="5"/>
      <c r="W35" s="5"/>
    </row>
    <row r="36" ht="42.75" customHeight="1">
      <c r="A36" s="70" t="s">
        <v>68</v>
      </c>
      <c r="B36" s="71" t="s">
        <v>66</v>
      </c>
      <c r="C36" s="72"/>
      <c r="D36" s="79"/>
      <c r="E36" s="75"/>
      <c r="F36" s="79"/>
      <c r="G36" s="75"/>
      <c r="H36" s="79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9"/>
      <c r="V36" s="9"/>
      <c r="W36" s="9"/>
    </row>
    <row r="37" ht="41.25" customHeight="1">
      <c r="A37" s="80" t="s">
        <v>69</v>
      </c>
      <c r="B37" s="71" t="s">
        <v>62</v>
      </c>
      <c r="C37" s="81"/>
      <c r="D37" s="82"/>
      <c r="E37" s="84"/>
      <c r="F37" s="82"/>
      <c r="G37" s="84"/>
      <c r="H37" s="82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5"/>
      <c r="V37" s="5"/>
      <c r="W37" s="5"/>
    </row>
    <row r="38" ht="41.25" customHeight="1">
      <c r="A38" s="80" t="s">
        <v>70</v>
      </c>
      <c r="B38" s="71" t="s">
        <v>62</v>
      </c>
      <c r="C38" s="81"/>
      <c r="D38" s="82"/>
      <c r="E38" s="84"/>
      <c r="F38" s="82"/>
      <c r="G38" s="84"/>
      <c r="H38" s="82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5"/>
      <c r="V38" s="5"/>
      <c r="W38" s="5"/>
    </row>
    <row r="39" ht="41.25" customHeight="1">
      <c r="A39" s="80" t="s">
        <v>71</v>
      </c>
      <c r="B39" s="71" t="s">
        <v>66</v>
      </c>
      <c r="C39" s="87"/>
      <c r="D39" s="82"/>
      <c r="E39" s="84"/>
      <c r="F39" s="82"/>
      <c r="G39" s="84"/>
      <c r="H39" s="8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5"/>
      <c r="V39" s="5"/>
      <c r="W39" s="5"/>
    </row>
    <row r="40" ht="41.25" customHeight="1">
      <c r="A40" s="80" t="s">
        <v>72</v>
      </c>
      <c r="B40" s="71" t="s">
        <v>62</v>
      </c>
      <c r="C40" s="87"/>
      <c r="D40" s="82"/>
      <c r="E40" s="84"/>
      <c r="F40" s="82"/>
      <c r="G40" s="84"/>
      <c r="H40" s="82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"/>
      <c r="V40" s="5"/>
      <c r="W40" s="5"/>
    </row>
    <row r="41" ht="41.25" customHeight="1">
      <c r="A41" s="90" t="s">
        <v>73</v>
      </c>
      <c r="B41" s="71" t="s">
        <v>62</v>
      </c>
      <c r="C41" s="87"/>
      <c r="D41" s="82"/>
      <c r="E41" s="84"/>
      <c r="F41" s="82"/>
      <c r="G41" s="84"/>
      <c r="H41" s="82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5"/>
      <c r="W41" s="5"/>
    </row>
    <row r="42" ht="41.25" customHeight="1">
      <c r="A42" s="90" t="s">
        <v>74</v>
      </c>
      <c r="B42" s="71" t="s">
        <v>62</v>
      </c>
      <c r="C42" s="87"/>
      <c r="D42" s="82"/>
      <c r="E42" s="84"/>
      <c r="F42" s="82"/>
      <c r="G42" s="84"/>
      <c r="H42" s="82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5"/>
      <c r="W42" s="5"/>
    </row>
    <row r="43" ht="43.5" customHeight="1">
      <c r="A43" s="35"/>
      <c r="B43" s="36" t="s">
        <v>34</v>
      </c>
      <c r="C43" s="38">
        <f>SUM(C31:C42)</f>
        <v>0</v>
      </c>
      <c r="D43" s="39"/>
      <c r="E43" s="39">
        <f>SUM(E31:E42)</f>
        <v>0</v>
      </c>
      <c r="F43" s="39"/>
      <c r="G43" s="39">
        <f>SUM(G31:G42)</f>
        <v>0</v>
      </c>
      <c r="H43" s="39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9"/>
      <c r="V43" s="9"/>
      <c r="W43" s="9"/>
    </row>
    <row r="44" ht="14.25" customHeight="1">
      <c r="A44" s="95"/>
      <c r="B44" s="97"/>
      <c r="C44" s="9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9"/>
      <c r="V44" s="9"/>
      <c r="W44" s="9"/>
    </row>
    <row r="45" ht="14.25" customHeight="1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9"/>
      <c r="V45" s="9"/>
      <c r="W45" s="9"/>
    </row>
    <row r="46" ht="14.25" customHeight="1">
      <c r="A46" s="99"/>
      <c r="B46" s="97"/>
      <c r="C46" s="9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9"/>
      <c r="V46" s="9"/>
      <c r="W46" s="9"/>
    </row>
    <row r="47" ht="14.25" customHeight="1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9"/>
      <c r="V47" s="9"/>
      <c r="W47" s="9"/>
    </row>
    <row r="48" ht="14.25" customHeight="1"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9"/>
      <c r="V48" s="9"/>
      <c r="W48" s="9"/>
    </row>
    <row r="49" ht="14.25" customHeight="1">
      <c r="A49" s="95"/>
      <c r="B49" s="97"/>
      <c r="C49" s="9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9"/>
      <c r="V49" s="9"/>
      <c r="W49" s="9"/>
    </row>
    <row r="50" ht="14.25" customHeight="1"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9"/>
      <c r="V50" s="9"/>
      <c r="W50" s="9"/>
    </row>
    <row r="51" ht="14.25" customHeight="1">
      <c r="A51" s="6"/>
      <c r="B51" s="6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9"/>
      <c r="V51" s="9"/>
      <c r="W51" s="9"/>
    </row>
    <row r="52" ht="14.25" customHeight="1">
      <c r="A52" s="6"/>
      <c r="B52" s="6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9"/>
      <c r="V52" s="9"/>
      <c r="W52" s="9"/>
    </row>
    <row r="53" ht="14.25" customHeight="1">
      <c r="A53" s="6"/>
      <c r="B53" s="6"/>
      <c r="C53" s="7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9"/>
      <c r="V53" s="9"/>
      <c r="W53" s="9"/>
    </row>
    <row r="54" ht="14.25" customHeight="1">
      <c r="A54" s="6"/>
      <c r="B54" s="6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9"/>
      <c r="V54" s="9"/>
      <c r="W54" s="9"/>
    </row>
    <row r="55" ht="14.25" customHeight="1">
      <c r="A55" s="6"/>
      <c r="B55" s="6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9"/>
      <c r="V55" s="9"/>
      <c r="W55" s="9"/>
    </row>
    <row r="56" ht="14.25" customHeight="1">
      <c r="A56" s="6"/>
      <c r="B56" s="6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9"/>
      <c r="V56" s="9"/>
      <c r="W56" s="9"/>
    </row>
    <row r="57" ht="14.25" customHeight="1">
      <c r="A57" s="6"/>
      <c r="B57" s="6"/>
      <c r="C57" s="7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9"/>
      <c r="V57" s="9"/>
      <c r="W57" s="9"/>
    </row>
    <row r="58" ht="14.25" customHeight="1">
      <c r="A58" s="6"/>
      <c r="B58" s="6"/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9"/>
      <c r="V58" s="9"/>
      <c r="W58" s="9"/>
    </row>
    <row r="59" ht="14.25" customHeight="1">
      <c r="A59" s="6"/>
      <c r="B59" s="6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9"/>
      <c r="V59" s="9"/>
      <c r="W59" s="9"/>
    </row>
    <row r="60" ht="14.25" customHeight="1">
      <c r="A60" s="6"/>
      <c r="B60" s="6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9"/>
      <c r="V60" s="9"/>
      <c r="W60" s="9"/>
    </row>
    <row r="61" ht="14.25" customHeight="1">
      <c r="A61" s="6"/>
      <c r="B61" s="6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9"/>
      <c r="V61" s="9"/>
      <c r="W61" s="9"/>
    </row>
    <row r="62" ht="14.25" customHeight="1">
      <c r="A62" s="6"/>
      <c r="B62" s="6"/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9"/>
      <c r="V62" s="9"/>
      <c r="W62" s="9"/>
    </row>
    <row r="63" ht="14.25" customHeight="1">
      <c r="A63" s="6"/>
      <c r="B63" s="6"/>
      <c r="C63" s="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9"/>
      <c r="V63" s="9"/>
      <c r="W63" s="9"/>
    </row>
    <row r="64" ht="14.25" customHeight="1">
      <c r="A64" s="6"/>
      <c r="B64" s="6"/>
      <c r="C64" s="7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9"/>
      <c r="V64" s="9"/>
      <c r="W64" s="9"/>
    </row>
    <row r="65" ht="14.25" customHeight="1">
      <c r="A65" s="6"/>
      <c r="B65" s="6"/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9"/>
      <c r="V65" s="9"/>
      <c r="W65" s="9"/>
    </row>
    <row r="66" ht="14.25" customHeight="1">
      <c r="A66" s="6"/>
      <c r="B66" s="6"/>
      <c r="C66" s="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9"/>
      <c r="V66" s="9"/>
      <c r="W66" s="9"/>
    </row>
    <row r="67" ht="14.25" customHeight="1">
      <c r="A67" s="6"/>
      <c r="B67" s="6"/>
      <c r="C67" s="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9"/>
      <c r="V67" s="9"/>
      <c r="W67" s="9"/>
    </row>
    <row r="68" ht="14.25" customHeight="1">
      <c r="A68" s="6"/>
      <c r="B68" s="6"/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9"/>
      <c r="V68" s="9"/>
      <c r="W68" s="9"/>
    </row>
    <row r="69" ht="14.25" customHeight="1">
      <c r="A69" s="6"/>
      <c r="B69" s="6"/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9"/>
      <c r="V69" s="9"/>
      <c r="W69" s="9"/>
    </row>
    <row r="70" ht="14.25" customHeight="1">
      <c r="A70" s="6"/>
      <c r="B70" s="6"/>
      <c r="C70" s="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9"/>
      <c r="V70" s="9"/>
      <c r="W70" s="9"/>
    </row>
    <row r="71" ht="14.25" customHeight="1">
      <c r="A71" s="6"/>
      <c r="B71" s="6"/>
      <c r="C71" s="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</row>
    <row r="72" ht="14.25" customHeight="1">
      <c r="A72" s="6"/>
      <c r="B72" s="6"/>
      <c r="C72" s="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9"/>
      <c r="V72" s="9"/>
      <c r="W72" s="9"/>
    </row>
    <row r="73" ht="14.25" customHeight="1">
      <c r="A73" s="6"/>
      <c r="B73" s="6"/>
      <c r="C73" s="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9"/>
      <c r="V73" s="9"/>
      <c r="W73" s="9"/>
    </row>
    <row r="74" ht="14.25" customHeight="1">
      <c r="A74" s="6"/>
      <c r="B74" s="6"/>
      <c r="C74" s="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9"/>
      <c r="V74" s="9"/>
      <c r="W74" s="9"/>
    </row>
    <row r="75" ht="14.25" customHeight="1">
      <c r="A75" s="6"/>
      <c r="B75" s="6"/>
      <c r="C75" s="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9"/>
      <c r="V75" s="9"/>
      <c r="W75" s="9"/>
    </row>
    <row r="76" ht="14.25" customHeight="1">
      <c r="A76" s="6"/>
      <c r="B76" s="6"/>
      <c r="C76" s="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9"/>
      <c r="V76" s="9"/>
      <c r="W76" s="9"/>
    </row>
    <row r="77" ht="14.25" customHeight="1">
      <c r="A77" s="6"/>
      <c r="B77" s="6"/>
      <c r="C77" s="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9"/>
      <c r="V77" s="9"/>
      <c r="W77" s="9"/>
    </row>
    <row r="78" ht="14.25" customHeight="1">
      <c r="A78" s="6"/>
      <c r="B78" s="6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9"/>
      <c r="V78" s="9"/>
      <c r="W78" s="9"/>
    </row>
    <row r="79" ht="14.25" customHeight="1">
      <c r="A79" s="6"/>
      <c r="B79" s="6"/>
      <c r="C79" s="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9"/>
      <c r="V79" s="9"/>
      <c r="W79" s="9"/>
    </row>
    <row r="80" ht="14.25" customHeight="1">
      <c r="A80" s="6"/>
      <c r="B80" s="6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9"/>
      <c r="V80" s="9"/>
      <c r="W80" s="9"/>
    </row>
    <row r="81" ht="14.25" customHeight="1">
      <c r="A81" s="6"/>
      <c r="B81" s="6"/>
      <c r="C81" s="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9"/>
      <c r="V81" s="9"/>
      <c r="W81" s="9"/>
    </row>
    <row r="82" ht="14.25" customHeight="1">
      <c r="A82" s="6"/>
      <c r="B82" s="6"/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9"/>
      <c r="V82" s="9"/>
      <c r="W82" s="9"/>
    </row>
    <row r="83" ht="14.25" customHeight="1">
      <c r="A83" s="6"/>
      <c r="B83" s="6"/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9"/>
      <c r="V83" s="9"/>
      <c r="W83" s="9"/>
    </row>
    <row r="84" ht="14.25" customHeight="1">
      <c r="A84" s="6"/>
      <c r="B84" s="6"/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9"/>
      <c r="V84" s="9"/>
      <c r="W84" s="9"/>
    </row>
    <row r="85" ht="14.25" customHeight="1">
      <c r="A85" s="6"/>
      <c r="B85" s="6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9"/>
      <c r="V85" s="9"/>
      <c r="W85" s="9"/>
    </row>
    <row r="86" ht="14.25" customHeight="1">
      <c r="A86" s="6"/>
      <c r="B86" s="6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9"/>
      <c r="V86" s="9"/>
      <c r="W86" s="9"/>
    </row>
    <row r="87" ht="14.25" customHeight="1">
      <c r="A87" s="6"/>
      <c r="B87" s="6"/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9"/>
      <c r="V87" s="9"/>
      <c r="W87" s="9"/>
    </row>
    <row r="88" ht="14.25" customHeight="1">
      <c r="A88" s="6"/>
      <c r="B88" s="6"/>
      <c r="C88" s="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9"/>
      <c r="V88" s="9"/>
      <c r="W88" s="9"/>
    </row>
    <row r="89" ht="14.25" customHeight="1">
      <c r="A89" s="6"/>
      <c r="B89" s="6"/>
      <c r="C89" s="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</row>
    <row r="90" ht="14.25" customHeight="1">
      <c r="A90" s="6"/>
      <c r="B90" s="6"/>
      <c r="C90" s="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9"/>
      <c r="V90" s="9"/>
      <c r="W90" s="9"/>
    </row>
    <row r="91" ht="14.25" customHeight="1">
      <c r="A91" s="6"/>
      <c r="B91" s="6"/>
      <c r="C91" s="7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9"/>
      <c r="V91" s="9"/>
      <c r="W91" s="9"/>
    </row>
    <row r="92" ht="14.25" customHeight="1">
      <c r="A92" s="6"/>
      <c r="B92" s="6"/>
      <c r="C92" s="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9"/>
      <c r="V92" s="9"/>
      <c r="W92" s="9"/>
    </row>
    <row r="93" ht="14.25" customHeight="1">
      <c r="A93" s="6"/>
      <c r="B93" s="6"/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9"/>
      <c r="V93" s="9"/>
      <c r="W93" s="9"/>
    </row>
    <row r="94" ht="14.25" customHeight="1">
      <c r="A94" s="6"/>
      <c r="B94" s="6"/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9"/>
      <c r="V94" s="9"/>
      <c r="W94" s="9"/>
    </row>
    <row r="95" ht="14.25" customHeight="1">
      <c r="A95" s="6"/>
      <c r="B95" s="6"/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9"/>
      <c r="V95" s="9"/>
      <c r="W95" s="9"/>
    </row>
    <row r="96" ht="14.25" customHeight="1">
      <c r="A96" s="6"/>
      <c r="B96" s="6"/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9"/>
      <c r="V96" s="9"/>
      <c r="W96" s="9"/>
    </row>
    <row r="97" ht="14.25" customHeight="1">
      <c r="A97" s="6"/>
      <c r="B97" s="6"/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9"/>
      <c r="V97" s="9"/>
      <c r="W97" s="9"/>
    </row>
    <row r="98" ht="14.25" customHeight="1">
      <c r="A98" s="6"/>
      <c r="B98" s="6"/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9"/>
      <c r="V98" s="9"/>
      <c r="W98" s="9"/>
    </row>
    <row r="99" ht="14.25" customHeight="1">
      <c r="A99" s="6"/>
      <c r="B99" s="6"/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9"/>
      <c r="V99" s="9"/>
      <c r="W99" s="9"/>
    </row>
    <row r="100" ht="14.25" customHeight="1">
      <c r="A100" s="6"/>
      <c r="B100" s="6"/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9"/>
      <c r="V100" s="9"/>
      <c r="W100" s="9"/>
    </row>
    <row r="101" ht="14.25" customHeight="1">
      <c r="A101" s="6"/>
      <c r="B101" s="6"/>
      <c r="C101" s="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9"/>
      <c r="V101" s="9"/>
      <c r="W101" s="9"/>
    </row>
    <row r="102" ht="14.25" customHeight="1">
      <c r="A102" s="6"/>
      <c r="B102" s="6"/>
      <c r="C102" s="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9"/>
      <c r="V102" s="9"/>
      <c r="W102" s="9"/>
    </row>
    <row r="103" ht="14.25" customHeight="1">
      <c r="A103" s="6"/>
      <c r="B103" s="6"/>
      <c r="C103" s="7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9"/>
      <c r="V103" s="9"/>
      <c r="W103" s="9"/>
    </row>
    <row r="104" ht="14.25" customHeight="1">
      <c r="A104" s="6"/>
      <c r="B104" s="6"/>
      <c r="C104" s="7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9"/>
      <c r="V104" s="9"/>
      <c r="W104" s="9"/>
    </row>
    <row r="105" ht="14.25" customHeight="1">
      <c r="A105" s="6"/>
      <c r="B105" s="6"/>
      <c r="C105" s="7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9"/>
      <c r="V105" s="9"/>
      <c r="W105" s="9"/>
    </row>
    <row r="106" ht="14.25" customHeight="1">
      <c r="A106" s="6"/>
      <c r="B106" s="6"/>
      <c r="C106" s="7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9"/>
      <c r="V106" s="9"/>
      <c r="W106" s="9"/>
    </row>
    <row r="107" ht="14.25" customHeight="1">
      <c r="A107" s="6"/>
      <c r="B107" s="6"/>
      <c r="C107" s="7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9"/>
      <c r="V107" s="9"/>
      <c r="W107" s="9"/>
    </row>
    <row r="108" ht="14.25" customHeight="1">
      <c r="A108" s="6"/>
      <c r="B108" s="6"/>
      <c r="C108" s="7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9"/>
      <c r="V108" s="9"/>
      <c r="W108" s="9"/>
    </row>
    <row r="109" ht="14.25" customHeight="1">
      <c r="A109" s="6"/>
      <c r="B109" s="6"/>
      <c r="C109" s="7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9"/>
      <c r="V109" s="9"/>
      <c r="W109" s="9"/>
    </row>
    <row r="110" ht="14.25" customHeight="1">
      <c r="A110" s="6"/>
      <c r="B110" s="6"/>
      <c r="C110" s="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9"/>
      <c r="V110" s="9"/>
      <c r="W110" s="9"/>
    </row>
    <row r="111" ht="14.25" customHeight="1">
      <c r="A111" s="6"/>
      <c r="B111" s="6"/>
      <c r="C111" s="7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9"/>
      <c r="V111" s="9"/>
      <c r="W111" s="9"/>
    </row>
    <row r="112" ht="14.25" customHeight="1">
      <c r="A112" s="6"/>
      <c r="B112" s="6"/>
      <c r="C112" s="7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9"/>
      <c r="V112" s="9"/>
      <c r="W112" s="9"/>
    </row>
    <row r="113" ht="14.25" customHeight="1">
      <c r="A113" s="6"/>
      <c r="B113" s="6"/>
      <c r="C113" s="7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9"/>
      <c r="V113" s="9"/>
      <c r="W113" s="9"/>
    </row>
    <row r="114" ht="14.25" customHeight="1">
      <c r="A114" s="6"/>
      <c r="B114" s="6"/>
      <c r="C114" s="7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9"/>
      <c r="V114" s="9"/>
      <c r="W114" s="9"/>
    </row>
    <row r="115" ht="14.25" customHeight="1">
      <c r="A115" s="6"/>
      <c r="B115" s="6"/>
      <c r="C115" s="7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9"/>
      <c r="V115" s="9"/>
      <c r="W115" s="9"/>
    </row>
    <row r="116" ht="14.25" customHeight="1">
      <c r="A116" s="6"/>
      <c r="B116" s="6"/>
      <c r="C116" s="7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9"/>
      <c r="V116" s="9"/>
      <c r="W116" s="9"/>
    </row>
    <row r="117" ht="14.25" customHeight="1">
      <c r="A117" s="6"/>
      <c r="B117" s="6"/>
      <c r="C117" s="7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9"/>
      <c r="V117" s="9"/>
      <c r="W117" s="9"/>
    </row>
    <row r="118" ht="14.25" customHeight="1">
      <c r="A118" s="6"/>
      <c r="B118" s="6"/>
      <c r="C118" s="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9"/>
      <c r="V118" s="9"/>
      <c r="W118" s="9"/>
    </row>
    <row r="119" ht="14.25" customHeight="1">
      <c r="A119" s="6"/>
      <c r="B119" s="6"/>
      <c r="C119" s="7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9"/>
      <c r="V119" s="9"/>
      <c r="W119" s="9"/>
    </row>
    <row r="120" ht="14.25" customHeight="1">
      <c r="A120" s="6"/>
      <c r="B120" s="6"/>
      <c r="C120" s="7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9"/>
      <c r="V120" s="9"/>
      <c r="W120" s="9"/>
    </row>
    <row r="121" ht="14.25" customHeight="1">
      <c r="A121" s="6"/>
      <c r="B121" s="6"/>
      <c r="C121" s="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9"/>
      <c r="V121" s="9"/>
      <c r="W121" s="9"/>
    </row>
    <row r="122" ht="14.25" customHeight="1">
      <c r="A122" s="6"/>
      <c r="B122" s="6"/>
      <c r="C122" s="7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9"/>
      <c r="V122" s="9"/>
      <c r="W122" s="9"/>
    </row>
    <row r="123" ht="14.25" customHeight="1">
      <c r="A123" s="6"/>
      <c r="B123" s="6"/>
      <c r="C123" s="7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9"/>
      <c r="V123" s="9"/>
      <c r="W123" s="9"/>
    </row>
    <row r="124" ht="14.25" customHeight="1">
      <c r="A124" s="6"/>
      <c r="B124" s="6"/>
      <c r="C124" s="7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9"/>
      <c r="V124" s="9"/>
      <c r="W124" s="9"/>
    </row>
    <row r="125" ht="14.25" customHeight="1">
      <c r="A125" s="6"/>
      <c r="B125" s="6"/>
      <c r="C125" s="7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</row>
    <row r="126" ht="14.25" customHeight="1">
      <c r="A126" s="6"/>
      <c r="B126" s="6"/>
      <c r="C126" s="7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9"/>
      <c r="V126" s="9"/>
      <c r="W126" s="9"/>
    </row>
    <row r="127" ht="14.25" customHeight="1">
      <c r="A127" s="6"/>
      <c r="B127" s="6"/>
      <c r="C127" s="7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9"/>
      <c r="V127" s="9"/>
      <c r="W127" s="9"/>
    </row>
    <row r="128" ht="14.25" customHeight="1">
      <c r="A128" s="6"/>
      <c r="B128" s="6"/>
      <c r="C128" s="7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9"/>
      <c r="V128" s="9"/>
      <c r="W128" s="9"/>
    </row>
    <row r="129" ht="14.25" customHeight="1">
      <c r="A129" s="6"/>
      <c r="B129" s="6"/>
      <c r="C129" s="7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9"/>
      <c r="V129" s="9"/>
      <c r="W129" s="9"/>
    </row>
    <row r="130" ht="14.25" customHeight="1">
      <c r="A130" s="6"/>
      <c r="B130" s="6"/>
      <c r="C130" s="7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9"/>
      <c r="V130" s="9"/>
      <c r="W130" s="9"/>
    </row>
    <row r="131" ht="14.25" customHeight="1">
      <c r="A131" s="6"/>
      <c r="B131" s="6"/>
      <c r="C131" s="7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9"/>
      <c r="V131" s="9"/>
      <c r="W131" s="9"/>
    </row>
    <row r="132" ht="14.25" customHeight="1">
      <c r="A132" s="6"/>
      <c r="B132" s="6"/>
      <c r="C132" s="7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9"/>
      <c r="V132" s="9"/>
      <c r="W132" s="9"/>
    </row>
    <row r="133" ht="14.25" customHeight="1">
      <c r="A133" s="6"/>
      <c r="B133" s="6"/>
      <c r="C133" s="7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9"/>
      <c r="V133" s="9"/>
      <c r="W133" s="9"/>
    </row>
    <row r="134" ht="14.25" customHeight="1">
      <c r="A134" s="6"/>
      <c r="B134" s="6"/>
      <c r="C134" s="7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9"/>
      <c r="V134" s="9"/>
      <c r="W134" s="9"/>
    </row>
    <row r="135" ht="14.25" customHeight="1">
      <c r="A135" s="6"/>
      <c r="B135" s="6"/>
      <c r="C135" s="7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9"/>
      <c r="V135" s="9"/>
      <c r="W135" s="9"/>
    </row>
    <row r="136" ht="14.25" customHeight="1">
      <c r="A136" s="6"/>
      <c r="B136" s="6"/>
      <c r="C136" s="7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9"/>
      <c r="V136" s="9"/>
      <c r="W136" s="9"/>
    </row>
    <row r="137" ht="14.25" customHeight="1">
      <c r="A137" s="6"/>
      <c r="B137" s="6"/>
      <c r="C137" s="7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9"/>
      <c r="V137" s="9"/>
      <c r="W137" s="9"/>
    </row>
    <row r="138" ht="14.25" customHeight="1">
      <c r="A138" s="6"/>
      <c r="B138" s="6"/>
      <c r="C138" s="7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9"/>
      <c r="V138" s="9"/>
      <c r="W138" s="9"/>
    </row>
    <row r="139" ht="14.25" customHeight="1">
      <c r="A139" s="6"/>
      <c r="B139" s="6"/>
      <c r="C139" s="7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9"/>
      <c r="V139" s="9"/>
      <c r="W139" s="9"/>
    </row>
    <row r="140" ht="14.25" customHeight="1">
      <c r="A140" s="6"/>
      <c r="B140" s="6"/>
      <c r="C140" s="7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9"/>
      <c r="V140" s="9"/>
      <c r="W140" s="9"/>
    </row>
    <row r="141" ht="14.25" customHeight="1">
      <c r="A141" s="6"/>
      <c r="B141" s="6"/>
      <c r="C141" s="7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9"/>
      <c r="V141" s="9"/>
      <c r="W141" s="9"/>
    </row>
    <row r="142" ht="14.25" customHeight="1">
      <c r="A142" s="6"/>
      <c r="B142" s="6"/>
      <c r="C142" s="7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9"/>
      <c r="V142" s="9"/>
      <c r="W142" s="9"/>
    </row>
    <row r="143" ht="14.25" customHeight="1">
      <c r="A143" s="6"/>
      <c r="B143" s="6"/>
      <c r="C143" s="7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</row>
    <row r="144" ht="14.25" customHeight="1">
      <c r="A144" s="6"/>
      <c r="B144" s="6"/>
      <c r="C144" s="7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9"/>
      <c r="V144" s="9"/>
      <c r="W144" s="9"/>
    </row>
    <row r="145" ht="14.25" customHeight="1">
      <c r="A145" s="6"/>
      <c r="B145" s="6"/>
      <c r="C145" s="7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9"/>
      <c r="V145" s="9"/>
      <c r="W145" s="9"/>
    </row>
    <row r="146" ht="14.25" customHeight="1">
      <c r="A146" s="6"/>
      <c r="B146" s="6"/>
      <c r="C146" s="7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9"/>
      <c r="V146" s="9"/>
      <c r="W146" s="9"/>
    </row>
    <row r="147" ht="14.25" customHeight="1">
      <c r="A147" s="6"/>
      <c r="B147" s="6"/>
      <c r="C147" s="7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9"/>
      <c r="V147" s="9"/>
      <c r="W147" s="9"/>
    </row>
    <row r="148" ht="14.25" customHeight="1">
      <c r="A148" s="6"/>
      <c r="B148" s="6"/>
      <c r="C148" s="7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9"/>
      <c r="V148" s="9"/>
      <c r="W148" s="9"/>
    </row>
    <row r="149" ht="14.25" customHeight="1">
      <c r="A149" s="6"/>
      <c r="B149" s="6"/>
      <c r="C149" s="7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9"/>
      <c r="V149" s="9"/>
      <c r="W149" s="9"/>
    </row>
    <row r="150" ht="14.25" customHeight="1">
      <c r="A150" s="6"/>
      <c r="B150" s="6"/>
      <c r="C150" s="7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9"/>
      <c r="V150" s="9"/>
      <c r="W150" s="9"/>
    </row>
    <row r="151" ht="14.25" customHeight="1">
      <c r="A151" s="6"/>
      <c r="B151" s="6"/>
      <c r="C151" s="7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9"/>
      <c r="V151" s="9"/>
      <c r="W151" s="9"/>
    </row>
    <row r="152" ht="14.25" customHeight="1">
      <c r="A152" s="6"/>
      <c r="B152" s="6"/>
      <c r="C152" s="7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9"/>
      <c r="V152" s="9"/>
      <c r="W152" s="9"/>
    </row>
    <row r="153" ht="14.25" customHeight="1">
      <c r="A153" s="6"/>
      <c r="B153" s="6"/>
      <c r="C153" s="7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9"/>
      <c r="V153" s="9"/>
      <c r="W153" s="9"/>
    </row>
    <row r="154" ht="14.25" customHeight="1">
      <c r="A154" s="6"/>
      <c r="B154" s="6"/>
      <c r="C154" s="7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9"/>
      <c r="V154" s="9"/>
      <c r="W154" s="9"/>
    </row>
    <row r="155" ht="14.25" customHeight="1">
      <c r="A155" s="6"/>
      <c r="B155" s="6"/>
      <c r="C155" s="7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9"/>
      <c r="V155" s="9"/>
      <c r="W155" s="9"/>
    </row>
    <row r="156" ht="14.25" customHeight="1">
      <c r="A156" s="6"/>
      <c r="B156" s="6"/>
      <c r="C156" s="7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9"/>
      <c r="V156" s="9"/>
      <c r="W156" s="9"/>
    </row>
    <row r="157" ht="14.25" customHeight="1">
      <c r="A157" s="6"/>
      <c r="B157" s="6"/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9"/>
      <c r="V157" s="9"/>
      <c r="W157" s="9"/>
    </row>
    <row r="158" ht="14.25" customHeight="1">
      <c r="A158" s="6"/>
      <c r="B158" s="6"/>
      <c r="C158" s="7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9"/>
      <c r="V158" s="9"/>
      <c r="W158" s="9"/>
    </row>
    <row r="159" ht="14.25" customHeight="1">
      <c r="A159" s="6"/>
      <c r="B159" s="6"/>
      <c r="C159" s="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9"/>
      <c r="V159" s="9"/>
      <c r="W159" s="9"/>
    </row>
    <row r="160" ht="14.25" customHeight="1">
      <c r="A160" s="6"/>
      <c r="B160" s="6"/>
      <c r="C160" s="7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9"/>
      <c r="V160" s="9"/>
      <c r="W160" s="9"/>
    </row>
    <row r="161" ht="14.25" customHeight="1">
      <c r="A161" s="6"/>
      <c r="B161" s="6"/>
      <c r="C161" s="7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9"/>
      <c r="V161" s="9"/>
      <c r="W161" s="9"/>
    </row>
    <row r="162" ht="14.25" customHeight="1">
      <c r="A162" s="6"/>
      <c r="B162" s="6"/>
      <c r="C162" s="7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9"/>
      <c r="V162" s="9"/>
      <c r="W162" s="9"/>
    </row>
    <row r="163" ht="14.25" customHeight="1">
      <c r="A163" s="6"/>
      <c r="B163" s="6"/>
      <c r="C163" s="7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9"/>
      <c r="V163" s="9"/>
      <c r="W163" s="9"/>
    </row>
    <row r="164" ht="14.25" customHeight="1">
      <c r="A164" s="6"/>
      <c r="B164" s="6"/>
      <c r="C164" s="7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9"/>
      <c r="V164" s="9"/>
      <c r="W164" s="9"/>
    </row>
    <row r="165" ht="14.25" customHeight="1">
      <c r="A165" s="6"/>
      <c r="B165" s="6"/>
      <c r="C165" s="7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9"/>
      <c r="V165" s="9"/>
      <c r="W165" s="9"/>
    </row>
    <row r="166" ht="14.25" customHeight="1">
      <c r="A166" s="6"/>
      <c r="B166" s="6"/>
      <c r="C166" s="7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9"/>
      <c r="V166" s="9"/>
      <c r="W166" s="9"/>
    </row>
    <row r="167" ht="14.25" customHeight="1">
      <c r="A167" s="6"/>
      <c r="B167" s="6"/>
      <c r="C167" s="7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9"/>
      <c r="V167" s="9"/>
      <c r="W167" s="9"/>
    </row>
    <row r="168" ht="14.25" customHeight="1">
      <c r="A168" s="6"/>
      <c r="B168" s="6"/>
      <c r="C168" s="7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9"/>
      <c r="V168" s="9"/>
      <c r="W168" s="9"/>
    </row>
    <row r="169" ht="14.25" customHeight="1">
      <c r="A169" s="6"/>
      <c r="B169" s="6"/>
      <c r="C169" s="7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9"/>
      <c r="V169" s="9"/>
      <c r="W169" s="9"/>
    </row>
    <row r="170" ht="14.25" customHeight="1">
      <c r="A170" s="6"/>
      <c r="B170" s="6"/>
      <c r="C170" s="7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9"/>
      <c r="V170" s="9"/>
      <c r="W170" s="9"/>
    </row>
    <row r="171" ht="14.25" customHeight="1">
      <c r="A171" s="6"/>
      <c r="B171" s="6"/>
      <c r="C171" s="7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9"/>
      <c r="V171" s="9"/>
      <c r="W171" s="9"/>
    </row>
    <row r="172" ht="14.25" customHeight="1">
      <c r="A172" s="6"/>
      <c r="B172" s="6"/>
      <c r="C172" s="7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9"/>
      <c r="V172" s="9"/>
      <c r="W172" s="9"/>
    </row>
    <row r="173" ht="14.25" customHeight="1">
      <c r="A173" s="6"/>
      <c r="B173" s="6"/>
      <c r="C173" s="7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9"/>
      <c r="V173" s="9"/>
      <c r="W173" s="9"/>
    </row>
    <row r="174" ht="14.25" customHeight="1">
      <c r="A174" s="6"/>
      <c r="B174" s="6"/>
      <c r="C174" s="7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9"/>
      <c r="V174" s="9"/>
      <c r="W174" s="9"/>
    </row>
    <row r="175" ht="14.25" customHeight="1">
      <c r="A175" s="6"/>
      <c r="B175" s="6"/>
      <c r="C175" s="7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9"/>
      <c r="V175" s="9"/>
      <c r="W175" s="9"/>
    </row>
    <row r="176" ht="14.25" customHeight="1">
      <c r="A176" s="6"/>
      <c r="B176" s="6"/>
      <c r="C176" s="7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9"/>
      <c r="V176" s="9"/>
      <c r="W176" s="9"/>
    </row>
    <row r="177" ht="14.25" customHeight="1">
      <c r="A177" s="6"/>
      <c r="B177" s="6"/>
      <c r="C177" s="7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9"/>
      <c r="V177" s="9"/>
      <c r="W177" s="9"/>
    </row>
    <row r="178" ht="14.25" customHeight="1">
      <c r="A178" s="6"/>
      <c r="B178" s="6"/>
      <c r="C178" s="7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9"/>
      <c r="V178" s="9"/>
      <c r="W178" s="9"/>
    </row>
    <row r="179" ht="14.25" customHeight="1">
      <c r="A179" s="6"/>
      <c r="B179" s="6"/>
      <c r="C179" s="7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9"/>
      <c r="W179" s="9"/>
    </row>
    <row r="180" ht="14.25" customHeight="1">
      <c r="A180" s="6"/>
      <c r="B180" s="6"/>
      <c r="C180" s="7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9"/>
      <c r="V180" s="9"/>
      <c r="W180" s="9"/>
    </row>
    <row r="181" ht="14.25" customHeight="1">
      <c r="A181" s="6"/>
      <c r="B181" s="6"/>
      <c r="C181" s="7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9"/>
      <c r="V181" s="9"/>
      <c r="W181" s="9"/>
    </row>
    <row r="182" ht="14.25" customHeight="1">
      <c r="A182" s="6"/>
      <c r="B182" s="6"/>
      <c r="C182" s="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9"/>
      <c r="V182" s="9"/>
      <c r="W182" s="9"/>
    </row>
    <row r="183" ht="14.25" customHeight="1">
      <c r="A183" s="6"/>
      <c r="B183" s="6"/>
      <c r="C183" s="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9"/>
      <c r="V183" s="9"/>
      <c r="W183" s="9"/>
    </row>
    <row r="184" ht="14.25" customHeight="1">
      <c r="A184" s="6"/>
      <c r="B184" s="6"/>
      <c r="C184" s="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9"/>
      <c r="V184" s="9"/>
      <c r="W184" s="9"/>
    </row>
    <row r="185" ht="14.25" customHeight="1">
      <c r="A185" s="6"/>
      <c r="B185" s="6"/>
      <c r="C185" s="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9"/>
      <c r="V185" s="9"/>
      <c r="W185" s="9"/>
    </row>
    <row r="186" ht="14.25" customHeight="1">
      <c r="A186" s="6"/>
      <c r="B186" s="6"/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9"/>
      <c r="V186" s="9"/>
      <c r="W186" s="9"/>
    </row>
    <row r="187" ht="14.25" customHeight="1">
      <c r="A187" s="6"/>
      <c r="B187" s="6"/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9"/>
      <c r="V187" s="9"/>
      <c r="W187" s="9"/>
    </row>
    <row r="188" ht="14.25" customHeight="1">
      <c r="A188" s="6"/>
      <c r="B188" s="6"/>
      <c r="C188" s="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9"/>
      <c r="V188" s="9"/>
      <c r="W188" s="9"/>
    </row>
    <row r="189" ht="14.25" customHeight="1">
      <c r="A189" s="6"/>
      <c r="B189" s="6"/>
      <c r="C189" s="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9"/>
      <c r="V189" s="9"/>
      <c r="W189" s="9"/>
    </row>
    <row r="190" ht="14.25" customHeight="1">
      <c r="A190" s="6"/>
      <c r="B190" s="6"/>
      <c r="C190" s="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9"/>
      <c r="V190" s="9"/>
      <c r="W190" s="9"/>
    </row>
    <row r="191" ht="14.25" customHeight="1">
      <c r="A191" s="6"/>
      <c r="B191" s="6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9"/>
      <c r="V191" s="9"/>
      <c r="W191" s="9"/>
    </row>
    <row r="192" ht="14.25" customHeight="1">
      <c r="A192" s="6"/>
      <c r="B192" s="6"/>
      <c r="C192" s="7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9"/>
      <c r="V192" s="9"/>
      <c r="W192" s="9"/>
    </row>
    <row r="193" ht="14.25" customHeight="1">
      <c r="A193" s="6"/>
      <c r="B193" s="6"/>
      <c r="C193" s="7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9"/>
      <c r="V193" s="9"/>
      <c r="W193" s="9"/>
    </row>
    <row r="194" ht="14.25" customHeight="1">
      <c r="A194" s="6"/>
      <c r="B194" s="6"/>
      <c r="C194" s="7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9"/>
      <c r="V194" s="9"/>
      <c r="W194" s="9"/>
    </row>
    <row r="195" ht="14.25" customHeight="1">
      <c r="A195" s="6"/>
      <c r="B195" s="6"/>
      <c r="C195" s="7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9"/>
      <c r="V195" s="9"/>
      <c r="W195" s="9"/>
    </row>
    <row r="196" ht="14.25" customHeight="1">
      <c r="A196" s="6"/>
      <c r="B196" s="6"/>
      <c r="C196" s="7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9"/>
      <c r="V196" s="9"/>
      <c r="W196" s="9"/>
    </row>
    <row r="197" ht="14.25" customHeight="1">
      <c r="A197" s="6"/>
      <c r="B197" s="6"/>
      <c r="C197" s="7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9"/>
      <c r="W197" s="9"/>
    </row>
    <row r="198" ht="14.25" customHeight="1">
      <c r="A198" s="6"/>
      <c r="B198" s="6"/>
      <c r="C198" s="7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9"/>
      <c r="V198" s="9"/>
      <c r="W198" s="9"/>
    </row>
    <row r="199" ht="14.25" customHeight="1">
      <c r="A199" s="6"/>
      <c r="B199" s="6"/>
      <c r="C199" s="7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9"/>
      <c r="V199" s="9"/>
      <c r="W199" s="9"/>
    </row>
    <row r="200" ht="14.25" customHeight="1">
      <c r="A200" s="6"/>
      <c r="B200" s="6"/>
      <c r="C200" s="7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9"/>
      <c r="V200" s="9"/>
      <c r="W200" s="9"/>
    </row>
    <row r="201" ht="14.25" customHeight="1">
      <c r="A201" s="6"/>
      <c r="B201" s="6"/>
      <c r="C201" s="7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9"/>
      <c r="V201" s="9"/>
      <c r="W201" s="9"/>
    </row>
    <row r="202" ht="14.25" customHeight="1">
      <c r="A202" s="6"/>
      <c r="B202" s="6"/>
      <c r="C202" s="7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9"/>
      <c r="V202" s="9"/>
      <c r="W202" s="9"/>
    </row>
    <row r="203" ht="14.25" customHeight="1">
      <c r="A203" s="6"/>
      <c r="B203" s="6"/>
      <c r="C203" s="7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9"/>
      <c r="V203" s="9"/>
      <c r="W203" s="9"/>
    </row>
    <row r="204" ht="14.25" customHeight="1">
      <c r="A204" s="6"/>
      <c r="B204" s="6"/>
      <c r="C204" s="7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9"/>
      <c r="V204" s="9"/>
      <c r="W204" s="9"/>
    </row>
    <row r="205" ht="14.25" customHeight="1">
      <c r="A205" s="6"/>
      <c r="B205" s="6"/>
      <c r="C205" s="7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9"/>
      <c r="V205" s="9"/>
      <c r="W205" s="9"/>
    </row>
    <row r="206" ht="14.25" customHeight="1">
      <c r="A206" s="6"/>
      <c r="B206" s="6"/>
      <c r="C206" s="7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9"/>
      <c r="V206" s="9"/>
      <c r="W206" s="9"/>
    </row>
    <row r="207" ht="14.25" customHeight="1">
      <c r="A207" s="6"/>
      <c r="B207" s="6"/>
      <c r="C207" s="7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9"/>
      <c r="V207" s="9"/>
      <c r="W207" s="9"/>
    </row>
    <row r="208" ht="14.25" customHeight="1">
      <c r="A208" s="6"/>
      <c r="B208" s="6"/>
      <c r="C208" s="7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9"/>
      <c r="V208" s="9"/>
      <c r="W208" s="9"/>
    </row>
    <row r="209" ht="14.25" customHeight="1">
      <c r="A209" s="6"/>
      <c r="B209" s="6"/>
      <c r="C209" s="7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9"/>
      <c r="V209" s="9"/>
      <c r="W209" s="9"/>
    </row>
    <row r="210" ht="14.25" customHeight="1">
      <c r="A210" s="6"/>
      <c r="B210" s="6"/>
      <c r="C210" s="7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9"/>
      <c r="V210" s="9"/>
      <c r="W210" s="9"/>
    </row>
    <row r="211" ht="14.25" customHeight="1">
      <c r="A211" s="6"/>
      <c r="B211" s="6"/>
      <c r="C211" s="7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9"/>
      <c r="V211" s="9"/>
      <c r="W211" s="9"/>
    </row>
    <row r="212" ht="14.25" customHeight="1">
      <c r="A212" s="6"/>
      <c r="B212" s="6"/>
      <c r="C212" s="7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9"/>
      <c r="V212" s="9"/>
      <c r="W212" s="9"/>
    </row>
    <row r="213" ht="14.25" customHeight="1">
      <c r="A213" s="6"/>
      <c r="B213" s="6"/>
      <c r="C213" s="7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9"/>
      <c r="V213" s="9"/>
      <c r="W213" s="9"/>
    </row>
    <row r="214" ht="14.25" customHeight="1">
      <c r="A214" s="6"/>
      <c r="B214" s="6"/>
      <c r="C214" s="7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9"/>
      <c r="V214" s="9"/>
      <c r="W214" s="9"/>
    </row>
    <row r="215" ht="14.25" customHeight="1">
      <c r="A215" s="6"/>
      <c r="B215" s="6"/>
      <c r="C215" s="7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9"/>
      <c r="V215" s="9"/>
      <c r="W215" s="9"/>
    </row>
    <row r="216" ht="14.25" customHeight="1">
      <c r="A216" s="6"/>
      <c r="B216" s="6"/>
      <c r="C216" s="7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9"/>
      <c r="V216" s="9"/>
      <c r="W216" s="9"/>
    </row>
    <row r="217" ht="14.25" customHeight="1">
      <c r="A217" s="6"/>
      <c r="B217" s="6"/>
      <c r="C217" s="7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9"/>
      <c r="V217" s="9"/>
      <c r="W217" s="9"/>
    </row>
    <row r="218" ht="14.25" customHeight="1">
      <c r="A218" s="6"/>
      <c r="B218" s="6"/>
      <c r="C218" s="7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9"/>
      <c r="V218" s="9"/>
      <c r="W218" s="9"/>
    </row>
    <row r="219" ht="14.25" customHeight="1">
      <c r="A219" s="6"/>
      <c r="B219" s="6"/>
      <c r="C219" s="7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9"/>
      <c r="V219" s="9"/>
      <c r="W219" s="9"/>
    </row>
    <row r="220" ht="14.25" customHeight="1">
      <c r="A220" s="6"/>
      <c r="B220" s="6"/>
      <c r="C220" s="7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9"/>
      <c r="V220" s="9"/>
      <c r="W220" s="9"/>
    </row>
    <row r="221" ht="14.25" customHeight="1">
      <c r="A221" s="6"/>
      <c r="B221" s="6"/>
      <c r="C221" s="7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9"/>
      <c r="V221" s="9"/>
      <c r="W221" s="9"/>
    </row>
    <row r="222" ht="14.25" customHeight="1">
      <c r="A222" s="6"/>
      <c r="B222" s="6"/>
      <c r="C222" s="7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9"/>
      <c r="V222" s="9"/>
      <c r="W222" s="9"/>
    </row>
    <row r="223" ht="14.25" customHeight="1">
      <c r="A223" s="6"/>
      <c r="B223" s="6"/>
      <c r="C223" s="7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9"/>
      <c r="V223" s="9"/>
      <c r="W223" s="9"/>
    </row>
    <row r="224" ht="14.25" customHeight="1">
      <c r="A224" s="6"/>
      <c r="B224" s="6"/>
      <c r="C224" s="7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9"/>
      <c r="V224" s="9"/>
      <c r="W224" s="9"/>
    </row>
    <row r="225" ht="14.25" customHeight="1">
      <c r="A225" s="6"/>
      <c r="B225" s="6"/>
      <c r="C225" s="7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9"/>
      <c r="V225" s="9"/>
      <c r="W225" s="9"/>
    </row>
    <row r="226" ht="14.25" customHeight="1">
      <c r="A226" s="6"/>
      <c r="B226" s="6"/>
      <c r="C226" s="7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9"/>
      <c r="V226" s="9"/>
      <c r="W226" s="9"/>
    </row>
    <row r="227" ht="14.25" customHeight="1">
      <c r="A227" s="6"/>
      <c r="B227" s="6"/>
      <c r="C227" s="7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9"/>
      <c r="V227" s="9"/>
      <c r="W227" s="9"/>
    </row>
    <row r="228" ht="14.25" customHeight="1">
      <c r="A228" s="6"/>
      <c r="B228" s="6"/>
      <c r="C228" s="7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9"/>
      <c r="V228" s="9"/>
      <c r="W228" s="9"/>
    </row>
    <row r="229" ht="14.25" customHeight="1">
      <c r="A229" s="6"/>
      <c r="B229" s="6"/>
      <c r="C229" s="7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9"/>
      <c r="V229" s="9"/>
      <c r="W229" s="9"/>
    </row>
    <row r="230" ht="14.25" customHeight="1">
      <c r="A230" s="6"/>
      <c r="B230" s="6"/>
      <c r="C230" s="7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9"/>
      <c r="V230" s="9"/>
      <c r="W230" s="9"/>
    </row>
    <row r="231" ht="14.25" customHeight="1">
      <c r="A231" s="6"/>
      <c r="B231" s="6"/>
      <c r="C231" s="7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9"/>
      <c r="V231" s="9"/>
      <c r="W231" s="9"/>
    </row>
    <row r="232" ht="14.25" customHeight="1">
      <c r="A232" s="6"/>
      <c r="B232" s="6"/>
      <c r="C232" s="7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9"/>
      <c r="V232" s="9"/>
      <c r="W232" s="9"/>
    </row>
    <row r="233" ht="14.25" customHeight="1">
      <c r="A233" s="6"/>
      <c r="B233" s="6"/>
      <c r="C233" s="7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9"/>
      <c r="W233" s="9"/>
    </row>
    <row r="234" ht="14.25" customHeight="1">
      <c r="A234" s="6"/>
      <c r="B234" s="6"/>
      <c r="C234" s="7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9"/>
      <c r="V234" s="9"/>
      <c r="W234" s="9"/>
    </row>
    <row r="235" ht="14.25" customHeight="1">
      <c r="A235" s="6"/>
      <c r="B235" s="6"/>
      <c r="C235" s="7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9"/>
      <c r="V235" s="9"/>
      <c r="W235" s="9"/>
    </row>
    <row r="236" ht="14.25" customHeight="1">
      <c r="A236" s="6"/>
      <c r="B236" s="6"/>
      <c r="C236" s="7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9"/>
      <c r="V236" s="9"/>
      <c r="W236" s="9"/>
    </row>
    <row r="237" ht="14.25" customHeight="1">
      <c r="A237" s="6"/>
      <c r="B237" s="6"/>
      <c r="C237" s="7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9"/>
      <c r="V237" s="9"/>
      <c r="W237" s="9"/>
    </row>
    <row r="238" ht="14.25" customHeight="1">
      <c r="A238" s="6"/>
      <c r="B238" s="6"/>
      <c r="C238" s="7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9"/>
      <c r="V238" s="9"/>
      <c r="W238" s="9"/>
    </row>
    <row r="239" ht="15.75" customHeight="1">
      <c r="A239" s="9"/>
      <c r="B239" s="9"/>
      <c r="C239" s="117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 ht="15.75" customHeight="1">
      <c r="A240" s="9"/>
      <c r="B240" s="9"/>
      <c r="C240" s="117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 ht="15.75" customHeight="1">
      <c r="A241" s="9"/>
      <c r="B241" s="9"/>
      <c r="C241" s="117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 ht="15.75" customHeight="1">
      <c r="A242" s="9"/>
      <c r="B242" s="9"/>
      <c r="C242" s="117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 ht="15.75" customHeight="1">
      <c r="A243" s="9"/>
      <c r="B243" s="9"/>
      <c r="C243" s="117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CD1F538-486D-42AB-88A5-67C763159FB9}" filter="1" showAutoFilter="1">
      <autoFilter ref="$A$3:$H$43"/>
    </customSheetView>
  </customSheetViews>
  <mergeCells count="10">
    <mergeCell ref="A49:A50"/>
    <mergeCell ref="B49:B50"/>
    <mergeCell ref="C49:C50"/>
    <mergeCell ref="A1:C1"/>
    <mergeCell ref="A44:A45"/>
    <mergeCell ref="B44:B45"/>
    <mergeCell ref="C44:C45"/>
    <mergeCell ref="A46:A48"/>
    <mergeCell ref="B46:B48"/>
    <mergeCell ref="C46:C48"/>
  </mergeCells>
  <dataValidations>
    <dataValidation type="list" allowBlank="1" showErrorMessage="1" sqref="C5:C6 E5:E6 G5:G6 C9 E9 G9 C12:C14 E12:E14 G12:G14 C17:C18 E17:E18 G17:G18 C23:C27 E23:E27 G23:G27 C36 E36 G36">
      <formula1>"0,1,2,3,4,5,6,7,8,9,10"</formula1>
    </dataValidation>
  </dataValidations>
  <printOptions/>
  <pageMargins bottom="0.75" footer="0.0" header="0.0" left="0.520833333333333" right="0.25" top="0.427083333333333"/>
  <pageSetup paperSize="14" orientation="landscape"/>
  <rowBreaks count="1" manualBreakCount="1">
    <brk id="21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4.29"/>
    <col customWidth="1" min="2" max="2" width="71.86"/>
    <col customWidth="1" min="3" max="3" width="37.0"/>
    <col customWidth="1" min="4" max="4" width="42.0"/>
    <col customWidth="1" min="5" max="10" width="47.57"/>
    <col customWidth="1" min="11" max="11" width="37.14"/>
    <col customWidth="1" min="12" max="12" width="37.86"/>
    <col customWidth="1" min="13" max="15" width="7.86"/>
    <col customWidth="1" min="16" max="24" width="8.71"/>
  </cols>
  <sheetData>
    <row r="1" ht="63.75" customHeight="1">
      <c r="A1" s="1" t="s">
        <v>0</v>
      </c>
      <c r="D1" s="1"/>
      <c r="E1" s="2" t="s">
        <v>1</v>
      </c>
      <c r="F1" s="2"/>
      <c r="G1" s="2"/>
      <c r="H1" s="2"/>
      <c r="I1" s="2" t="s">
        <v>3</v>
      </c>
      <c r="J1" s="3" t="str">
        <f>CHAIR!#REF!</f>
        <v>#ERROR!</v>
      </c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</row>
    <row r="2" ht="9.0" customHeight="1">
      <c r="A2" s="6"/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9"/>
      <c r="AA2" s="9"/>
    </row>
    <row r="3" ht="40.5" customHeight="1">
      <c r="A3" s="10" t="s">
        <v>5</v>
      </c>
      <c r="B3" s="11"/>
      <c r="C3" s="14"/>
      <c r="D3" s="13"/>
      <c r="E3" s="14"/>
      <c r="F3" s="13"/>
      <c r="G3" s="14"/>
      <c r="H3" s="13"/>
      <c r="I3" s="14"/>
      <c r="J3" s="13"/>
      <c r="K3" s="14"/>
      <c r="L3" s="1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9"/>
      <c r="AA3" s="9"/>
    </row>
    <row r="4" ht="44.25" customHeight="1">
      <c r="A4" s="15" t="s">
        <v>6</v>
      </c>
      <c r="B4" s="24" t="s">
        <v>7</v>
      </c>
      <c r="C4" s="30" t="str">
        <f>CHAIR!C4</f>
        <v>Jhonrey A. Cañete</v>
      </c>
      <c r="D4" s="18" t="s">
        <v>9</v>
      </c>
      <c r="E4" s="19" t="str">
        <f>CHAIR!E4</f>
        <v/>
      </c>
      <c r="F4" s="21" t="s">
        <v>9</v>
      </c>
      <c r="G4" s="19" t="str">
        <f>CHAIR!G4</f>
        <v>-</v>
      </c>
      <c r="H4" s="21" t="s">
        <v>9</v>
      </c>
      <c r="I4" s="19" t="str">
        <f>CHAIR!#REF!</f>
        <v>#ERROR!</v>
      </c>
      <c r="J4" s="21" t="s">
        <v>9</v>
      </c>
      <c r="K4" s="31" t="str">
        <f>CHAIR!#REF!</f>
        <v>#ERROR!</v>
      </c>
      <c r="L4" s="21" t="s">
        <v>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9"/>
      <c r="AA4" s="9"/>
    </row>
    <row r="5" ht="89.25" customHeight="1">
      <c r="A5" s="25" t="s">
        <v>11</v>
      </c>
      <c r="B5" s="26" t="s">
        <v>12</v>
      </c>
      <c r="C5" s="37">
        <v>4.0</v>
      </c>
      <c r="D5" s="26"/>
      <c r="E5" s="32"/>
      <c r="F5" s="26"/>
      <c r="G5" s="32"/>
      <c r="H5" s="26"/>
      <c r="I5" s="32"/>
      <c r="J5" s="26"/>
      <c r="K5" s="32"/>
      <c r="L5" s="26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9"/>
      <c r="AA5" s="9"/>
    </row>
    <row r="6" ht="89.25" customHeight="1">
      <c r="A6" s="25" t="s">
        <v>13</v>
      </c>
      <c r="B6" s="26" t="s">
        <v>14</v>
      </c>
      <c r="C6" s="37">
        <v>4.0</v>
      </c>
      <c r="D6" s="26"/>
      <c r="E6" s="32"/>
      <c r="F6" s="26"/>
      <c r="G6" s="32"/>
      <c r="H6" s="26"/>
      <c r="I6" s="32"/>
      <c r="J6" s="26"/>
      <c r="K6" s="32"/>
      <c r="L6" s="2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</row>
    <row r="7" ht="43.5" customHeight="1">
      <c r="A7" s="35"/>
      <c r="B7" s="36" t="s">
        <v>15</v>
      </c>
      <c r="C7" s="39">
        <f>SUM(C5:C6)</f>
        <v>8</v>
      </c>
      <c r="D7" s="39"/>
      <c r="E7" s="39">
        <f>SUM(E5:E6)</f>
        <v>0</v>
      </c>
      <c r="F7" s="39"/>
      <c r="G7" s="39">
        <f>SUM(G5:G6)</f>
        <v>0</v>
      </c>
      <c r="H7" s="39"/>
      <c r="I7" s="39">
        <f>SUM(I5:I6)</f>
        <v>0</v>
      </c>
      <c r="J7" s="39"/>
      <c r="K7" s="39">
        <f>SUM(K5:K6)</f>
        <v>0</v>
      </c>
      <c r="L7" s="39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9"/>
      <c r="AA7" s="9"/>
    </row>
    <row r="8" ht="43.5" customHeight="1">
      <c r="A8" s="15" t="s">
        <v>16</v>
      </c>
      <c r="B8" s="24" t="s">
        <v>7</v>
      </c>
      <c r="C8" s="21" t="str">
        <f>C4</f>
        <v>Jhonrey A. Cañete</v>
      </c>
      <c r="D8" s="21" t="s">
        <v>9</v>
      </c>
      <c r="E8" s="21" t="str">
        <f>E4</f>
        <v/>
      </c>
      <c r="F8" s="21" t="s">
        <v>9</v>
      </c>
      <c r="G8" s="21" t="str">
        <f>G4</f>
        <v>-</v>
      </c>
      <c r="H8" s="21" t="s">
        <v>9</v>
      </c>
      <c r="I8" s="21" t="str">
        <f>I4</f>
        <v>#ERROR!</v>
      </c>
      <c r="J8" s="21" t="s">
        <v>9</v>
      </c>
      <c r="K8" s="21" t="str">
        <f>K4</f>
        <v>#ERROR!</v>
      </c>
      <c r="L8" s="21" t="s">
        <v>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9"/>
      <c r="AA8" s="9"/>
    </row>
    <row r="9" ht="93.75" customHeight="1">
      <c r="A9" s="26" t="s">
        <v>35</v>
      </c>
      <c r="B9" s="26" t="s">
        <v>19</v>
      </c>
      <c r="C9" s="37">
        <v>4.0</v>
      </c>
      <c r="D9" s="26"/>
      <c r="E9" s="32"/>
      <c r="F9" s="26"/>
      <c r="G9" s="32"/>
      <c r="H9" s="26"/>
      <c r="I9" s="32"/>
      <c r="J9" s="26"/>
      <c r="K9" s="32"/>
      <c r="L9" s="26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9"/>
      <c r="AA9" s="9"/>
    </row>
    <row r="10" ht="43.5" customHeight="1">
      <c r="A10" s="35"/>
      <c r="B10" s="36" t="s">
        <v>15</v>
      </c>
      <c r="C10" s="39">
        <f>SUM(C9)</f>
        <v>4</v>
      </c>
      <c r="D10" s="39"/>
      <c r="E10" s="39">
        <f>SUM(E9)</f>
        <v>0</v>
      </c>
      <c r="F10" s="39"/>
      <c r="G10" s="39">
        <f>SUM(G9)</f>
        <v>0</v>
      </c>
      <c r="H10" s="39"/>
      <c r="I10" s="39">
        <f>SUM(I9)</f>
        <v>0</v>
      </c>
      <c r="J10" s="39"/>
      <c r="K10" s="39">
        <f>SUM(K9)</f>
        <v>0</v>
      </c>
      <c r="L10" s="39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"/>
      <c r="Z10" s="9"/>
      <c r="AA10" s="9"/>
    </row>
    <row r="11" ht="44.25" customHeight="1">
      <c r="A11" s="43" t="s">
        <v>20</v>
      </c>
      <c r="B11" s="24" t="s">
        <v>7</v>
      </c>
      <c r="C11" s="21" t="str">
        <f>C4</f>
        <v>Jhonrey A. Cañete</v>
      </c>
      <c r="D11" s="21" t="s">
        <v>9</v>
      </c>
      <c r="E11" s="21" t="str">
        <f>E4</f>
        <v/>
      </c>
      <c r="F11" s="21" t="s">
        <v>9</v>
      </c>
      <c r="G11" s="21" t="str">
        <f>G4</f>
        <v>-</v>
      </c>
      <c r="H11" s="21" t="s">
        <v>9</v>
      </c>
      <c r="I11" s="21" t="str">
        <f>I4</f>
        <v>#ERROR!</v>
      </c>
      <c r="J11" s="21" t="s">
        <v>9</v>
      </c>
      <c r="K11" s="21" t="str">
        <f>K4</f>
        <v>#ERROR!</v>
      </c>
      <c r="L11" s="21" t="s">
        <v>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9"/>
      <c r="AA11" s="9"/>
    </row>
    <row r="12" ht="81.0" customHeight="1">
      <c r="A12" s="44" t="s">
        <v>53</v>
      </c>
      <c r="B12" s="44" t="s">
        <v>22</v>
      </c>
      <c r="C12" s="53">
        <v>4.0</v>
      </c>
      <c r="D12" s="46"/>
      <c r="E12" s="47"/>
      <c r="F12" s="46"/>
      <c r="G12" s="47"/>
      <c r="H12" s="46"/>
      <c r="I12" s="47"/>
      <c r="J12" s="46"/>
      <c r="K12" s="47"/>
      <c r="L12" s="46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9"/>
      <c r="AA12" s="9"/>
    </row>
    <row r="13" ht="81.0" customHeight="1">
      <c r="A13" s="44" t="s">
        <v>54</v>
      </c>
      <c r="B13" s="44" t="s">
        <v>24</v>
      </c>
      <c r="C13" s="53">
        <v>4.0</v>
      </c>
      <c r="D13" s="46"/>
      <c r="E13" s="47"/>
      <c r="F13" s="46"/>
      <c r="G13" s="47"/>
      <c r="H13" s="46"/>
      <c r="I13" s="47"/>
      <c r="J13" s="46"/>
      <c r="K13" s="47"/>
      <c r="L13" s="46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9"/>
      <c r="AA13" s="9"/>
    </row>
    <row r="14" ht="81.0" customHeight="1">
      <c r="A14" s="25" t="s">
        <v>25</v>
      </c>
      <c r="B14" s="26" t="s">
        <v>26</v>
      </c>
      <c r="C14" s="37">
        <v>4.0</v>
      </c>
      <c r="D14" s="26"/>
      <c r="E14" s="32"/>
      <c r="F14" s="26"/>
      <c r="G14" s="32"/>
      <c r="H14" s="26"/>
      <c r="I14" s="32"/>
      <c r="J14" s="26"/>
      <c r="K14" s="32"/>
      <c r="L14" s="26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9"/>
      <c r="AA14" s="9"/>
    </row>
    <row r="15" ht="43.5" customHeight="1">
      <c r="A15" s="35"/>
      <c r="B15" s="36" t="s">
        <v>15</v>
      </c>
      <c r="C15" s="39">
        <f>SUM(C12:C14)</f>
        <v>12</v>
      </c>
      <c r="D15" s="39"/>
      <c r="E15" s="39">
        <f>SUM(E12:E14)</f>
        <v>0</v>
      </c>
      <c r="F15" s="39"/>
      <c r="G15" s="39">
        <f>SUM(G12:G14)</f>
        <v>0</v>
      </c>
      <c r="H15" s="39"/>
      <c r="I15" s="39">
        <f>SUM(I12:I14)</f>
        <v>0</v>
      </c>
      <c r="J15" s="39"/>
      <c r="K15" s="39">
        <f>SUM(K12:K14)</f>
        <v>0</v>
      </c>
      <c r="L15" s="39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9"/>
      <c r="Z15" s="9"/>
      <c r="AA15" s="9"/>
    </row>
    <row r="16" ht="43.5" customHeight="1">
      <c r="A16" s="43" t="s">
        <v>28</v>
      </c>
      <c r="B16" s="24" t="s">
        <v>7</v>
      </c>
      <c r="C16" s="21" t="str">
        <f>C11</f>
        <v>Jhonrey A. Cañete</v>
      </c>
      <c r="D16" s="21" t="s">
        <v>9</v>
      </c>
      <c r="E16" s="21" t="str">
        <f>E11</f>
        <v/>
      </c>
      <c r="F16" s="21" t="s">
        <v>9</v>
      </c>
      <c r="G16" s="21" t="str">
        <f>G11</f>
        <v>-</v>
      </c>
      <c r="H16" s="21" t="s">
        <v>9</v>
      </c>
      <c r="I16" s="21" t="str">
        <f>I11</f>
        <v>#ERROR!</v>
      </c>
      <c r="J16" s="21" t="s">
        <v>9</v>
      </c>
      <c r="K16" s="21" t="str">
        <f>K4</f>
        <v>#ERROR!</v>
      </c>
      <c r="L16" s="21" t="s">
        <v>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9"/>
      <c r="AA16" s="9"/>
    </row>
    <row r="17" ht="55.5" customHeight="1">
      <c r="A17" s="25" t="s">
        <v>30</v>
      </c>
      <c r="B17" s="26" t="s">
        <v>31</v>
      </c>
      <c r="C17" s="37">
        <v>4.0</v>
      </c>
      <c r="D17" s="26"/>
      <c r="E17" s="91"/>
      <c r="F17" s="26"/>
      <c r="G17" s="91"/>
      <c r="H17" s="26"/>
      <c r="I17" s="91"/>
      <c r="J17" s="26"/>
      <c r="K17" s="32"/>
      <c r="L17" s="26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9"/>
      <c r="AA17" s="9"/>
    </row>
    <row r="18" ht="49.5" customHeight="1">
      <c r="A18" s="46" t="s">
        <v>75</v>
      </c>
      <c r="B18" s="46" t="s">
        <v>33</v>
      </c>
      <c r="C18" s="53">
        <v>4.0</v>
      </c>
      <c r="D18" s="46"/>
      <c r="E18" s="96"/>
      <c r="F18" s="46"/>
      <c r="G18" s="96"/>
      <c r="H18" s="46"/>
      <c r="I18" s="96"/>
      <c r="J18" s="46"/>
      <c r="K18" s="47"/>
      <c r="L18" s="46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9"/>
      <c r="Z18" s="9"/>
      <c r="AA18" s="9"/>
    </row>
    <row r="19" ht="43.5" customHeight="1">
      <c r="A19" s="74"/>
      <c r="B19" s="77" t="s">
        <v>15</v>
      </c>
      <c r="C19" s="78">
        <f>SUM(C17:C18)</f>
        <v>8</v>
      </c>
      <c r="D19" s="78"/>
      <c r="E19" s="78">
        <f>SUM(E17:E18)</f>
        <v>0</v>
      </c>
      <c r="F19" s="78"/>
      <c r="G19" s="78">
        <f>SUM(G17:G18)</f>
        <v>0</v>
      </c>
      <c r="H19" s="78"/>
      <c r="I19" s="78">
        <f>SUM(I17:I18)</f>
        <v>0</v>
      </c>
      <c r="J19" s="78"/>
      <c r="K19" s="78">
        <f>SUM(K17:K18)</f>
        <v>0</v>
      </c>
      <c r="L19" s="7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9"/>
      <c r="Z19" s="9"/>
      <c r="AA19" s="9"/>
    </row>
    <row r="20" ht="37.5" customHeight="1">
      <c r="A20" s="88"/>
      <c r="B20" s="89" t="s">
        <v>34</v>
      </c>
      <c r="C20" s="85">
        <f>SUM(C7,C10,C15,C19)</f>
        <v>32</v>
      </c>
      <c r="D20" s="86"/>
      <c r="E20" s="85">
        <f>SUM(E7,E10,E15,E19)</f>
        <v>0</v>
      </c>
      <c r="F20" s="86"/>
      <c r="G20" s="85">
        <f>SUM(G7,G10,G15,G19)</f>
        <v>0</v>
      </c>
      <c r="H20" s="86"/>
      <c r="I20" s="85">
        <f>SUM(I7,I10,I15,I19)</f>
        <v>0</v>
      </c>
      <c r="J20" s="86"/>
      <c r="K20" s="85">
        <f>SUM(K7,K10,K15,K19)</f>
        <v>0</v>
      </c>
      <c r="L20" s="86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9"/>
      <c r="AA20" s="9"/>
    </row>
    <row r="21" ht="37.5" customHeight="1">
      <c r="A21" s="54" t="s">
        <v>38</v>
      </c>
      <c r="B21" s="56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9"/>
      <c r="AA21" s="9"/>
    </row>
    <row r="22" ht="44.25" customHeight="1">
      <c r="A22" s="58"/>
      <c r="B22" s="24" t="s">
        <v>40</v>
      </c>
      <c r="C22" s="69" t="str">
        <f>C16</f>
        <v>Jhonrey A. Cañete</v>
      </c>
      <c r="D22" s="69" t="s">
        <v>9</v>
      </c>
      <c r="E22" s="69" t="str">
        <f>E16</f>
        <v/>
      </c>
      <c r="F22" s="21" t="s">
        <v>9</v>
      </c>
      <c r="G22" s="69" t="str">
        <f>G16</f>
        <v>-</v>
      </c>
      <c r="H22" s="69" t="s">
        <v>9</v>
      </c>
      <c r="I22" s="69" t="str">
        <f>I16</f>
        <v>#ERROR!</v>
      </c>
      <c r="J22" s="69" t="s">
        <v>9</v>
      </c>
      <c r="K22" s="69" t="str">
        <f>K16</f>
        <v>#ERROR!</v>
      </c>
      <c r="L22" s="69" t="s">
        <v>9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9"/>
      <c r="AA22" s="9"/>
    </row>
    <row r="23" ht="48.75" customHeight="1">
      <c r="A23" s="59" t="s">
        <v>43</v>
      </c>
      <c r="B23" s="44" t="s">
        <v>44</v>
      </c>
      <c r="C23" s="106">
        <v>4.0</v>
      </c>
      <c r="D23" s="79"/>
      <c r="E23" s="107"/>
      <c r="F23" s="44"/>
      <c r="G23" s="107"/>
      <c r="H23" s="79"/>
      <c r="I23" s="107"/>
      <c r="J23" s="79"/>
      <c r="K23" s="75"/>
      <c r="L23" s="79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9"/>
      <c r="AA23" s="9"/>
    </row>
    <row r="24" ht="48.75" customHeight="1">
      <c r="A24" s="59" t="s">
        <v>45</v>
      </c>
      <c r="B24" s="44" t="s">
        <v>46</v>
      </c>
      <c r="C24" s="106">
        <v>4.0</v>
      </c>
      <c r="D24" s="79"/>
      <c r="E24" s="107"/>
      <c r="F24" s="44"/>
      <c r="G24" s="107"/>
      <c r="H24" s="79"/>
      <c r="I24" s="107"/>
      <c r="J24" s="79"/>
      <c r="K24" s="75"/>
      <c r="L24" s="79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9"/>
      <c r="AA24" s="9"/>
    </row>
    <row r="25" ht="48.75" customHeight="1">
      <c r="A25" s="59" t="s">
        <v>47</v>
      </c>
      <c r="B25" s="44" t="s">
        <v>48</v>
      </c>
      <c r="C25" s="106">
        <v>4.0</v>
      </c>
      <c r="D25" s="79"/>
      <c r="E25" s="107"/>
      <c r="F25" s="44"/>
      <c r="G25" s="107"/>
      <c r="H25" s="79"/>
      <c r="I25" s="107"/>
      <c r="J25" s="79"/>
      <c r="K25" s="75"/>
      <c r="L25" s="79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9"/>
      <c r="AA25" s="9"/>
    </row>
    <row r="26" ht="71.25" customHeight="1">
      <c r="A26" s="59" t="s">
        <v>49</v>
      </c>
      <c r="B26" s="44" t="s">
        <v>50</v>
      </c>
      <c r="C26" s="106">
        <v>4.0</v>
      </c>
      <c r="D26" s="79"/>
      <c r="E26" s="107"/>
      <c r="F26" s="44"/>
      <c r="G26" s="107"/>
      <c r="H26" s="79"/>
      <c r="I26" s="107"/>
      <c r="J26" s="79"/>
      <c r="K26" s="75"/>
      <c r="L26" s="79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9"/>
      <c r="AA26" s="9"/>
    </row>
    <row r="27" ht="48.75" customHeight="1">
      <c r="A27" s="25" t="s">
        <v>51</v>
      </c>
      <c r="B27" s="111" t="s">
        <v>52</v>
      </c>
      <c r="C27" s="106">
        <v>4.0</v>
      </c>
      <c r="D27" s="79"/>
      <c r="E27" s="107"/>
      <c r="F27" s="112"/>
      <c r="G27" s="107"/>
      <c r="H27" s="79"/>
      <c r="I27" s="107"/>
      <c r="J27" s="79"/>
      <c r="K27" s="75"/>
      <c r="L27" s="79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9"/>
      <c r="AA27" s="9"/>
    </row>
    <row r="28" ht="43.5" customHeight="1">
      <c r="A28" s="63"/>
      <c r="B28" s="64" t="s">
        <v>34</v>
      </c>
      <c r="C28" s="66">
        <f>SUM(C23:C27)</f>
        <v>20</v>
      </c>
      <c r="D28" s="66"/>
      <c r="E28" s="66">
        <f>SUM(E23:E27)</f>
        <v>0</v>
      </c>
      <c r="F28" s="66"/>
      <c r="G28" s="66">
        <f>SUM(G23:G27)</f>
        <v>0</v>
      </c>
      <c r="H28" s="66"/>
      <c r="I28" s="66">
        <f>SUM(I23:I27)</f>
        <v>0</v>
      </c>
      <c r="J28" s="66"/>
      <c r="K28" s="66"/>
      <c r="L28" s="66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9"/>
      <c r="Z28" s="9"/>
      <c r="AA28" s="9"/>
    </row>
    <row r="29" ht="45.0" customHeight="1">
      <c r="A29" s="54" t="s">
        <v>55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9"/>
      <c r="AA29" s="9"/>
    </row>
    <row r="30" ht="43.5" customHeight="1">
      <c r="A30" s="67"/>
      <c r="B30" s="24" t="s">
        <v>57</v>
      </c>
      <c r="C30" s="69" t="str">
        <f>C22</f>
        <v>Jhonrey A. Cañete</v>
      </c>
      <c r="D30" s="69" t="s">
        <v>9</v>
      </c>
      <c r="E30" s="69" t="str">
        <f>E22</f>
        <v/>
      </c>
      <c r="F30" s="69" t="s">
        <v>9</v>
      </c>
      <c r="G30" s="69" t="str">
        <f>G22</f>
        <v>-</v>
      </c>
      <c r="H30" s="69" t="s">
        <v>9</v>
      </c>
      <c r="I30" s="69" t="str">
        <f>I22</f>
        <v>#ERROR!</v>
      </c>
      <c r="J30" s="69" t="s">
        <v>9</v>
      </c>
      <c r="K30" s="69" t="str">
        <f>K22</f>
        <v>#ERROR!</v>
      </c>
      <c r="L30" s="69" t="s">
        <v>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  <c r="Z30" s="5"/>
      <c r="AA30" s="5"/>
    </row>
    <row r="31" ht="43.5" customHeight="1">
      <c r="A31" s="70" t="s">
        <v>61</v>
      </c>
      <c r="B31" s="71" t="s">
        <v>62</v>
      </c>
      <c r="C31" s="106">
        <v>4.0</v>
      </c>
      <c r="D31" s="75"/>
      <c r="E31" s="107"/>
      <c r="F31" s="75"/>
      <c r="G31" s="107"/>
      <c r="H31" s="75"/>
      <c r="I31" s="107"/>
      <c r="J31" s="75"/>
      <c r="K31" s="75"/>
      <c r="L31" s="75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5"/>
      <c r="AA31" s="5"/>
    </row>
    <row r="32" ht="43.5" customHeight="1">
      <c r="A32" s="70" t="s">
        <v>63</v>
      </c>
      <c r="B32" s="71" t="s">
        <v>62</v>
      </c>
      <c r="C32" s="106">
        <v>4.0</v>
      </c>
      <c r="D32" s="75"/>
      <c r="E32" s="107"/>
      <c r="F32" s="75"/>
      <c r="G32" s="107"/>
      <c r="H32" s="75"/>
      <c r="I32" s="107"/>
      <c r="J32" s="75"/>
      <c r="K32" s="75"/>
      <c r="L32" s="75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5"/>
      <c r="AA32" s="5"/>
    </row>
    <row r="33" ht="43.5" customHeight="1">
      <c r="A33" s="70" t="s">
        <v>64</v>
      </c>
      <c r="B33" s="71" t="s">
        <v>62</v>
      </c>
      <c r="C33" s="106">
        <v>4.0</v>
      </c>
      <c r="D33" s="75"/>
      <c r="E33" s="107"/>
      <c r="F33" s="75"/>
      <c r="G33" s="107"/>
      <c r="H33" s="75"/>
      <c r="I33" s="107"/>
      <c r="J33" s="75"/>
      <c r="K33" s="75"/>
      <c r="L33" s="75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5"/>
      <c r="AA33" s="5"/>
    </row>
    <row r="34" ht="43.5" customHeight="1">
      <c r="A34" s="70" t="s">
        <v>65</v>
      </c>
      <c r="B34" s="71" t="s">
        <v>66</v>
      </c>
      <c r="C34" s="106">
        <v>9.0</v>
      </c>
      <c r="D34" s="75"/>
      <c r="E34" s="107"/>
      <c r="F34" s="75"/>
      <c r="G34" s="107"/>
      <c r="H34" s="75"/>
      <c r="I34" s="107"/>
      <c r="J34" s="75"/>
      <c r="K34" s="75"/>
      <c r="L34" s="75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5"/>
      <c r="AA34" s="5"/>
    </row>
    <row r="35" ht="43.5" customHeight="1">
      <c r="A35" s="70" t="s">
        <v>67</v>
      </c>
      <c r="B35" s="71" t="s">
        <v>66</v>
      </c>
      <c r="C35" s="106">
        <v>9.0</v>
      </c>
      <c r="D35" s="75"/>
      <c r="E35" s="107"/>
      <c r="F35" s="75"/>
      <c r="G35" s="107"/>
      <c r="H35" s="75"/>
      <c r="I35" s="107"/>
      <c r="J35" s="75"/>
      <c r="K35" s="75"/>
      <c r="L35" s="75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5"/>
      <c r="AA35" s="5"/>
    </row>
    <row r="36" ht="42.75" customHeight="1">
      <c r="A36" s="70" t="s">
        <v>68</v>
      </c>
      <c r="B36" s="71" t="s">
        <v>66</v>
      </c>
      <c r="C36" s="106">
        <v>9.0</v>
      </c>
      <c r="D36" s="79"/>
      <c r="E36" s="107"/>
      <c r="F36" s="79"/>
      <c r="G36" s="107"/>
      <c r="H36" s="79"/>
      <c r="I36" s="107"/>
      <c r="J36" s="79"/>
      <c r="K36" s="75"/>
      <c r="L36" s="79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9"/>
      <c r="Z36" s="9"/>
      <c r="AA36" s="9"/>
    </row>
    <row r="37" ht="41.25" customHeight="1">
      <c r="A37" s="80" t="s">
        <v>69</v>
      </c>
      <c r="B37" s="71" t="s">
        <v>62</v>
      </c>
      <c r="C37" s="114">
        <v>3.0</v>
      </c>
      <c r="D37" s="82"/>
      <c r="E37" s="115"/>
      <c r="F37" s="82"/>
      <c r="G37" s="115"/>
      <c r="H37" s="82"/>
      <c r="I37" s="115"/>
      <c r="J37" s="82"/>
      <c r="K37" s="84"/>
      <c r="L37" s="8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  <c r="Z37" s="5"/>
      <c r="AA37" s="5"/>
    </row>
    <row r="38" ht="41.25" customHeight="1">
      <c r="A38" s="80" t="s">
        <v>70</v>
      </c>
      <c r="B38" s="71" t="s">
        <v>62</v>
      </c>
      <c r="C38" s="114">
        <v>3.0</v>
      </c>
      <c r="D38" s="82"/>
      <c r="E38" s="115"/>
      <c r="F38" s="82"/>
      <c r="G38" s="115"/>
      <c r="H38" s="82"/>
      <c r="I38" s="115"/>
      <c r="J38" s="82"/>
      <c r="K38" s="84"/>
      <c r="L38" s="8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5"/>
      <c r="AA38" s="5"/>
    </row>
    <row r="39" ht="41.25" customHeight="1">
      <c r="A39" s="80" t="s">
        <v>71</v>
      </c>
      <c r="B39" s="71" t="s">
        <v>66</v>
      </c>
      <c r="C39" s="116">
        <v>9.0</v>
      </c>
      <c r="D39" s="82"/>
      <c r="E39" s="115"/>
      <c r="F39" s="82"/>
      <c r="G39" s="115"/>
      <c r="H39" s="82"/>
      <c r="I39" s="115"/>
      <c r="J39" s="82"/>
      <c r="K39" s="84"/>
      <c r="L39" s="8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5"/>
      <c r="AA39" s="5"/>
    </row>
    <row r="40" ht="41.25" customHeight="1">
      <c r="A40" s="80" t="s">
        <v>72</v>
      </c>
      <c r="B40" s="71" t="s">
        <v>62</v>
      </c>
      <c r="C40" s="116">
        <v>4.0</v>
      </c>
      <c r="D40" s="82"/>
      <c r="E40" s="115"/>
      <c r="F40" s="82"/>
      <c r="G40" s="115"/>
      <c r="H40" s="82"/>
      <c r="I40" s="115"/>
      <c r="J40" s="82"/>
      <c r="K40" s="84"/>
      <c r="L40" s="82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5"/>
      <c r="AA40" s="5"/>
    </row>
    <row r="41" ht="41.25" customHeight="1">
      <c r="A41" s="90" t="s">
        <v>73</v>
      </c>
      <c r="B41" s="71" t="s">
        <v>62</v>
      </c>
      <c r="C41" s="116">
        <v>4.0</v>
      </c>
      <c r="D41" s="82"/>
      <c r="E41" s="115"/>
      <c r="F41" s="82"/>
      <c r="G41" s="115"/>
      <c r="H41" s="82"/>
      <c r="I41" s="115"/>
      <c r="J41" s="82"/>
      <c r="K41" s="84"/>
      <c r="L41" s="8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5"/>
      <c r="AA41" s="5"/>
    </row>
    <row r="42" ht="41.25" customHeight="1">
      <c r="A42" s="90" t="s">
        <v>74</v>
      </c>
      <c r="B42" s="71" t="s">
        <v>62</v>
      </c>
      <c r="C42" s="116">
        <v>4.0</v>
      </c>
      <c r="D42" s="82"/>
      <c r="E42" s="115"/>
      <c r="F42" s="82"/>
      <c r="G42" s="115"/>
      <c r="H42" s="82"/>
      <c r="I42" s="115"/>
      <c r="J42" s="82"/>
      <c r="K42" s="84"/>
      <c r="L42" s="82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5"/>
      <c r="AA42" s="5"/>
    </row>
    <row r="43" ht="43.5" customHeight="1">
      <c r="A43" s="35"/>
      <c r="B43" s="36" t="s">
        <v>34</v>
      </c>
      <c r="C43" s="39">
        <f>SUM(C31:C42)</f>
        <v>66</v>
      </c>
      <c r="D43" s="39"/>
      <c r="E43" s="39">
        <f>SUM(E31:E42)</f>
        <v>0</v>
      </c>
      <c r="F43" s="39"/>
      <c r="G43" s="39">
        <f>SUM(G31:G42)</f>
        <v>0</v>
      </c>
      <c r="H43" s="39"/>
      <c r="I43" s="39">
        <f>SUM(I31:I42)</f>
        <v>0</v>
      </c>
      <c r="J43" s="39"/>
      <c r="K43" s="39">
        <f>SUM(K31:K42)</f>
        <v>0</v>
      </c>
      <c r="L43" s="39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9"/>
      <c r="Z43" s="9"/>
      <c r="AA43" s="9"/>
    </row>
    <row r="44" ht="14.25" customHeight="1">
      <c r="A44" s="95"/>
      <c r="B44" s="97"/>
      <c r="C44" s="97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"/>
      <c r="Z44" s="9"/>
      <c r="AA44" s="9"/>
    </row>
    <row r="45" ht="14.25" customHeight="1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9"/>
      <c r="Z45" s="9"/>
      <c r="AA45" s="9"/>
    </row>
    <row r="46" ht="14.25" customHeight="1">
      <c r="A46" s="99"/>
      <c r="B46" s="97"/>
      <c r="C46" s="9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  <c r="Z46" s="9"/>
      <c r="AA46" s="9"/>
    </row>
    <row r="47" ht="14.25" customHeight="1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"/>
      <c r="Z47" s="9"/>
      <c r="AA47" s="9"/>
    </row>
    <row r="48" ht="14.25" customHeight="1">
      <c r="A48" s="95"/>
      <c r="B48" s="97"/>
      <c r="C48" s="9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"/>
      <c r="Z48" s="9"/>
      <c r="AA48" s="9"/>
    </row>
    <row r="49" ht="14.25" customHeight="1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"/>
      <c r="Z49" s="9"/>
      <c r="AA49" s="9"/>
    </row>
    <row r="50" ht="14.25" customHeight="1">
      <c r="A50" s="6"/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"/>
      <c r="Z50" s="9"/>
      <c r="AA50" s="9"/>
    </row>
    <row r="51" ht="14.25" customHeight="1">
      <c r="A51" s="6"/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"/>
      <c r="Z51" s="9"/>
      <c r="AA51" s="9"/>
    </row>
    <row r="52" ht="14.25" customHeight="1">
      <c r="A52" s="6"/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  <c r="Z52" s="9"/>
      <c r="AA52" s="9"/>
    </row>
    <row r="53" ht="14.25" customHeight="1">
      <c r="A53" s="6"/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  <c r="Z53" s="9"/>
      <c r="AA53" s="9"/>
    </row>
    <row r="54" ht="14.25" customHeight="1">
      <c r="A54" s="6"/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"/>
      <c r="Z54" s="9"/>
      <c r="AA54" s="9"/>
    </row>
    <row r="55" ht="14.25" customHeight="1">
      <c r="A55" s="6"/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"/>
      <c r="Z55" s="9"/>
      <c r="AA55" s="9"/>
    </row>
    <row r="56" ht="14.25" customHeight="1">
      <c r="A56" s="6"/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9"/>
      <c r="AA56" s="9"/>
    </row>
    <row r="57" ht="14.25" customHeight="1">
      <c r="A57" s="6"/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  <c r="Z57" s="9"/>
      <c r="AA57" s="9"/>
    </row>
    <row r="58" ht="14.25" customHeight="1">
      <c r="A58" s="6"/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9"/>
      <c r="AA58" s="9"/>
    </row>
    <row r="59" ht="14.25" customHeight="1">
      <c r="A59" s="6"/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9"/>
      <c r="AA59" s="9"/>
    </row>
    <row r="60" ht="14.25" customHeight="1">
      <c r="A60" s="6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9"/>
      <c r="AA60" s="9"/>
    </row>
    <row r="61" ht="14.25" customHeight="1">
      <c r="A61" s="6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9"/>
      <c r="AA61" s="9"/>
    </row>
    <row r="62" ht="14.25" customHeight="1">
      <c r="A62" s="6"/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9"/>
      <c r="AA62" s="9"/>
    </row>
    <row r="63" ht="14.25" customHeight="1">
      <c r="A63" s="6"/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9"/>
      <c r="AA63" s="9"/>
    </row>
    <row r="64" ht="14.25" customHeight="1">
      <c r="A64" s="6"/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9"/>
      <c r="AA64" s="9"/>
    </row>
    <row r="65" ht="14.25" customHeight="1">
      <c r="A65" s="6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"/>
      <c r="Z65" s="9"/>
      <c r="AA65" s="9"/>
    </row>
    <row r="66" ht="14.25" customHeight="1">
      <c r="A66" s="6"/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9"/>
      <c r="AA66" s="9"/>
    </row>
    <row r="67" ht="14.25" customHeight="1">
      <c r="A67" s="6"/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9"/>
      <c r="AA67" s="9"/>
    </row>
    <row r="68" ht="14.25" customHeight="1">
      <c r="A68" s="6"/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9"/>
      <c r="AA68" s="9"/>
    </row>
    <row r="69" ht="14.25" customHeight="1">
      <c r="A69" s="6"/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  <c r="Z69" s="9"/>
      <c r="AA69" s="9"/>
    </row>
    <row r="70" ht="14.25" customHeight="1">
      <c r="A70" s="6"/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9"/>
      <c r="AA70" s="9"/>
    </row>
    <row r="71" ht="14.25" customHeight="1">
      <c r="A71" s="6"/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9"/>
      <c r="AA71" s="9"/>
    </row>
    <row r="72" ht="14.25" customHeight="1">
      <c r="A72" s="6"/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9"/>
      <c r="AA72" s="9"/>
    </row>
    <row r="73" ht="14.25" customHeight="1">
      <c r="A73" s="6"/>
      <c r="B73" s="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  <c r="Z73" s="9"/>
      <c r="AA73" s="9"/>
    </row>
    <row r="74" ht="14.25" customHeight="1">
      <c r="A74" s="6"/>
      <c r="B74" s="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9"/>
      <c r="AA74" s="9"/>
    </row>
    <row r="75" ht="14.25" customHeight="1">
      <c r="A75" s="6"/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9"/>
      <c r="AA75" s="9"/>
    </row>
    <row r="76" ht="14.25" customHeight="1">
      <c r="A76" s="6"/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9"/>
      <c r="AA76" s="9"/>
    </row>
    <row r="77" ht="14.25" customHeight="1">
      <c r="A77" s="6"/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9"/>
      <c r="AA77" s="9"/>
    </row>
    <row r="78" ht="14.25" customHeight="1">
      <c r="A78" s="6"/>
      <c r="B78" s="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9"/>
      <c r="AA78" s="9"/>
    </row>
    <row r="79" ht="14.25" customHeight="1">
      <c r="A79" s="6"/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9"/>
      <c r="AA79" s="9"/>
    </row>
    <row r="80" ht="14.25" customHeight="1">
      <c r="A80" s="6"/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9"/>
      <c r="AA80" s="9"/>
    </row>
    <row r="81" ht="14.25" customHeight="1">
      <c r="A81" s="6"/>
      <c r="B81" s="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9"/>
      <c r="AA81" s="9"/>
    </row>
    <row r="82" ht="14.25" customHeight="1">
      <c r="A82" s="6"/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9"/>
      <c r="AA82" s="9"/>
    </row>
    <row r="83" ht="14.25" customHeight="1">
      <c r="A83" s="6"/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9"/>
      <c r="AA83" s="9"/>
    </row>
    <row r="84" ht="14.25" customHeight="1">
      <c r="A84" s="6"/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9"/>
      <c r="AA84" s="9"/>
    </row>
    <row r="85" ht="14.25" customHeight="1">
      <c r="A85" s="6"/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9"/>
      <c r="AA85" s="9"/>
    </row>
    <row r="86" ht="14.25" customHeight="1">
      <c r="A86" s="6"/>
      <c r="B86" s="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9"/>
      <c r="AA86" s="9"/>
    </row>
    <row r="87" ht="14.25" customHeight="1">
      <c r="A87" s="6"/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9"/>
      <c r="AA87" s="9"/>
    </row>
    <row r="88" ht="14.25" customHeight="1">
      <c r="A88" s="6"/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9"/>
      <c r="AA88" s="9"/>
    </row>
    <row r="89" ht="14.25" customHeight="1">
      <c r="A89" s="6"/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9"/>
      <c r="AA89" s="9"/>
    </row>
    <row r="90" ht="14.25" customHeight="1">
      <c r="A90" s="6"/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9"/>
      <c r="AA90" s="9"/>
    </row>
    <row r="91" ht="14.25" customHeight="1">
      <c r="A91" s="6"/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9"/>
      <c r="AA91" s="9"/>
    </row>
    <row r="92" ht="14.25" customHeight="1">
      <c r="A92" s="6"/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9"/>
      <c r="AA92" s="9"/>
    </row>
    <row r="93" ht="14.25" customHeight="1">
      <c r="A93" s="6"/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  <c r="Z93" s="9"/>
      <c r="AA93" s="9"/>
    </row>
    <row r="94" ht="14.25" customHeight="1">
      <c r="A94" s="6"/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9"/>
      <c r="AA94" s="9"/>
    </row>
    <row r="95" ht="14.25" customHeight="1">
      <c r="A95" s="6"/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9"/>
      <c r="AA95" s="9"/>
    </row>
    <row r="96" ht="14.25" customHeight="1">
      <c r="A96" s="6"/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9"/>
      <c r="AA96" s="9"/>
    </row>
    <row r="97" ht="14.25" customHeight="1">
      <c r="A97" s="6"/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9"/>
      <c r="AA97" s="9"/>
    </row>
    <row r="98" ht="14.25" customHeight="1">
      <c r="A98" s="6"/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9"/>
      <c r="AA98" s="9"/>
    </row>
    <row r="99" ht="14.25" customHeight="1">
      <c r="A99" s="6"/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9"/>
      <c r="AA99" s="9"/>
    </row>
    <row r="100" ht="14.25" customHeight="1">
      <c r="A100" s="6"/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9"/>
      <c r="AA100" s="9"/>
    </row>
    <row r="101" ht="14.25" customHeight="1">
      <c r="A101" s="6"/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9"/>
      <c r="AA101" s="9"/>
    </row>
    <row r="102" ht="14.25" customHeight="1">
      <c r="A102" s="6"/>
      <c r="B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9"/>
      <c r="AA102" s="9"/>
    </row>
    <row r="103" ht="14.25" customHeight="1">
      <c r="A103" s="6"/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9"/>
      <c r="AA103" s="9"/>
    </row>
    <row r="104" ht="14.25" customHeight="1">
      <c r="A104" s="6"/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9"/>
      <c r="AA104" s="9"/>
    </row>
    <row r="105" ht="14.25" customHeight="1">
      <c r="A105" s="6"/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9"/>
      <c r="AA105" s="9"/>
    </row>
    <row r="106" ht="14.25" customHeight="1">
      <c r="A106" s="6"/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9"/>
      <c r="AA106" s="9"/>
    </row>
    <row r="107" ht="14.25" customHeight="1">
      <c r="A107" s="6"/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9"/>
      <c r="AA107" s="9"/>
    </row>
    <row r="108" ht="14.25" customHeight="1">
      <c r="A108" s="6"/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"/>
      <c r="Z108" s="9"/>
      <c r="AA108" s="9"/>
    </row>
    <row r="109" ht="14.25" customHeight="1">
      <c r="A109" s="6"/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9"/>
      <c r="AA109" s="9"/>
    </row>
    <row r="110" ht="14.25" customHeight="1">
      <c r="A110" s="6"/>
      <c r="B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9"/>
      <c r="AA110" s="9"/>
    </row>
    <row r="111" ht="14.25" customHeight="1">
      <c r="A111" s="6"/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9"/>
      <c r="AA111" s="9"/>
    </row>
    <row r="112" ht="14.25" customHeight="1">
      <c r="A112" s="6"/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9"/>
      <c r="AA112" s="9"/>
    </row>
    <row r="113" ht="14.25" customHeight="1">
      <c r="A113" s="6"/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9"/>
      <c r="AA113" s="9"/>
    </row>
    <row r="114" ht="14.25" customHeight="1">
      <c r="A114" s="6"/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9"/>
      <c r="AA114" s="9"/>
    </row>
    <row r="115" ht="14.25" customHeight="1">
      <c r="A115" s="6"/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"/>
      <c r="Z115" s="9"/>
      <c r="AA115" s="9"/>
    </row>
    <row r="116" ht="14.25" customHeight="1">
      <c r="A116" s="6"/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9"/>
      <c r="AA116" s="9"/>
    </row>
    <row r="117" ht="14.25" customHeight="1">
      <c r="A117" s="6"/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9"/>
      <c r="AA117" s="9"/>
    </row>
    <row r="118" ht="14.25" customHeight="1">
      <c r="A118" s="6"/>
      <c r="B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9"/>
      <c r="AA118" s="9"/>
    </row>
    <row r="119" ht="14.25" customHeight="1">
      <c r="A119" s="6"/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9"/>
      <c r="AA119" s="9"/>
    </row>
    <row r="120" ht="14.25" customHeight="1">
      <c r="A120" s="6"/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9"/>
      <c r="AA120" s="9"/>
    </row>
    <row r="121" ht="14.25" customHeight="1">
      <c r="A121" s="6"/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"/>
      <c r="Z121" s="9"/>
      <c r="AA121" s="9"/>
    </row>
    <row r="122" ht="14.25" customHeight="1">
      <c r="A122" s="6"/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9"/>
      <c r="AA122" s="9"/>
    </row>
    <row r="123" ht="14.25" customHeight="1">
      <c r="A123" s="6"/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9"/>
      <c r="AA123" s="9"/>
    </row>
    <row r="124" ht="14.25" customHeight="1">
      <c r="A124" s="6"/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9"/>
      <c r="AA124" s="9"/>
    </row>
    <row r="125" ht="14.25" customHeight="1">
      <c r="A125" s="6"/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9"/>
      <c r="AA125" s="9"/>
    </row>
    <row r="126" ht="14.25" customHeight="1">
      <c r="A126" s="6"/>
      <c r="B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9"/>
      <c r="AA126" s="9"/>
    </row>
    <row r="127" ht="14.25" customHeight="1">
      <c r="A127" s="6"/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9"/>
      <c r="AA127" s="9"/>
    </row>
    <row r="128" ht="14.25" customHeight="1">
      <c r="A128" s="6"/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9"/>
      <c r="AA128" s="9"/>
    </row>
    <row r="129" ht="14.25" customHeight="1">
      <c r="A129" s="6"/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9"/>
      <c r="Z129" s="9"/>
      <c r="AA129" s="9"/>
    </row>
    <row r="130" ht="14.25" customHeight="1">
      <c r="A130" s="6"/>
      <c r="B130" s="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9"/>
      <c r="AA130" s="9"/>
    </row>
    <row r="131" ht="14.25" customHeight="1">
      <c r="A131" s="6"/>
      <c r="B131" s="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9"/>
      <c r="AA131" s="9"/>
    </row>
    <row r="132" ht="14.25" customHeight="1">
      <c r="A132" s="6"/>
      <c r="B132" s="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9"/>
      <c r="AA132" s="9"/>
    </row>
    <row r="133" ht="14.25" customHeight="1">
      <c r="A133" s="6"/>
      <c r="B133" s="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"/>
      <c r="Z133" s="9"/>
      <c r="AA133" s="9"/>
    </row>
    <row r="134" ht="14.25" customHeight="1">
      <c r="A134" s="6"/>
      <c r="B134" s="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9"/>
      <c r="AA134" s="9"/>
    </row>
    <row r="135" ht="14.25" customHeight="1">
      <c r="A135" s="6"/>
      <c r="B135" s="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9"/>
      <c r="Z135" s="9"/>
      <c r="AA135" s="9"/>
    </row>
    <row r="136" ht="14.25" customHeight="1">
      <c r="A136" s="6"/>
      <c r="B136" s="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9"/>
      <c r="AA136" s="9"/>
    </row>
    <row r="137" ht="14.25" customHeight="1">
      <c r="A137" s="6"/>
      <c r="B137" s="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9"/>
      <c r="AA137" s="9"/>
    </row>
    <row r="138" ht="14.25" customHeight="1">
      <c r="A138" s="6"/>
      <c r="B138" s="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9"/>
      <c r="AA138" s="9"/>
    </row>
    <row r="139" ht="14.25" customHeight="1">
      <c r="A139" s="6"/>
      <c r="B139" s="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9"/>
      <c r="AA139" s="9"/>
    </row>
    <row r="140" ht="14.25" customHeight="1">
      <c r="A140" s="6"/>
      <c r="B140" s="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9"/>
      <c r="AA140" s="9"/>
    </row>
    <row r="141" ht="14.25" customHeight="1">
      <c r="A141" s="6"/>
      <c r="B141" s="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9"/>
      <c r="AA141" s="9"/>
    </row>
    <row r="142" ht="14.25" customHeight="1">
      <c r="A142" s="6"/>
      <c r="B142" s="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9"/>
      <c r="AA142" s="9"/>
    </row>
    <row r="143" ht="14.25" customHeight="1">
      <c r="A143" s="6"/>
      <c r="B143" s="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  <c r="Z143" s="9"/>
      <c r="AA143" s="9"/>
    </row>
    <row r="144" ht="14.25" customHeight="1">
      <c r="A144" s="6"/>
      <c r="B144" s="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9"/>
      <c r="AA144" s="9"/>
    </row>
    <row r="145" ht="14.25" customHeight="1">
      <c r="A145" s="6"/>
      <c r="B145" s="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"/>
      <c r="Z145" s="9"/>
      <c r="AA145" s="9"/>
    </row>
    <row r="146" ht="14.25" customHeight="1">
      <c r="A146" s="6"/>
      <c r="B146" s="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9"/>
      <c r="AA146" s="9"/>
    </row>
    <row r="147" ht="14.25" customHeight="1">
      <c r="A147" s="6"/>
      <c r="B147" s="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9"/>
      <c r="AA147" s="9"/>
    </row>
    <row r="148" ht="14.25" customHeight="1">
      <c r="A148" s="6"/>
      <c r="B148" s="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9"/>
      <c r="AA148" s="9"/>
    </row>
    <row r="149" ht="14.25" customHeight="1">
      <c r="A149" s="6"/>
      <c r="B149" s="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"/>
      <c r="Z149" s="9"/>
      <c r="AA149" s="9"/>
    </row>
    <row r="150" ht="14.25" customHeight="1">
      <c r="A150" s="6"/>
      <c r="B150" s="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"/>
      <c r="Z150" s="9"/>
      <c r="AA150" s="9"/>
    </row>
    <row r="151" ht="14.25" customHeight="1">
      <c r="A151" s="6"/>
      <c r="B151" s="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9"/>
      <c r="AA151" s="9"/>
    </row>
    <row r="152" ht="14.25" customHeight="1">
      <c r="A152" s="6"/>
      <c r="B152" s="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9"/>
      <c r="AA152" s="9"/>
    </row>
    <row r="153" ht="14.25" customHeight="1">
      <c r="A153" s="6"/>
      <c r="B153" s="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9"/>
      <c r="AA153" s="9"/>
    </row>
    <row r="154" ht="14.25" customHeight="1">
      <c r="A154" s="6"/>
      <c r="B154" s="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9"/>
      <c r="AA154" s="9"/>
    </row>
    <row r="155" ht="14.25" customHeight="1">
      <c r="A155" s="6"/>
      <c r="B155" s="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9"/>
      <c r="AA155" s="9"/>
    </row>
    <row r="156" ht="14.25" customHeight="1">
      <c r="A156" s="6"/>
      <c r="B156" s="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9"/>
      <c r="AA156" s="9"/>
    </row>
    <row r="157" ht="14.25" customHeight="1">
      <c r="A157" s="6"/>
      <c r="B157" s="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"/>
      <c r="Z157" s="9"/>
      <c r="AA157" s="9"/>
    </row>
    <row r="158" ht="14.25" customHeight="1">
      <c r="A158" s="6"/>
      <c r="B158" s="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9"/>
      <c r="AA158" s="9"/>
    </row>
    <row r="159" ht="14.25" customHeight="1">
      <c r="A159" s="6"/>
      <c r="B159" s="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9"/>
      <c r="AA159" s="9"/>
    </row>
    <row r="160" ht="14.25" customHeight="1">
      <c r="A160" s="6"/>
      <c r="B160" s="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9"/>
      <c r="AA160" s="9"/>
    </row>
    <row r="161" ht="14.25" customHeight="1">
      <c r="A161" s="6"/>
      <c r="B161" s="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9"/>
      <c r="AA161" s="9"/>
    </row>
    <row r="162" ht="14.25" customHeight="1">
      <c r="A162" s="6"/>
      <c r="B162" s="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9"/>
      <c r="AA162" s="9"/>
    </row>
    <row r="163" ht="14.25" customHeight="1">
      <c r="A163" s="6"/>
      <c r="B163" s="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"/>
      <c r="Z163" s="9"/>
      <c r="AA163" s="9"/>
    </row>
    <row r="164" ht="14.25" customHeight="1">
      <c r="A164" s="6"/>
      <c r="B164" s="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"/>
      <c r="Z164" s="9"/>
      <c r="AA164" s="9"/>
    </row>
    <row r="165" ht="14.25" customHeight="1">
      <c r="A165" s="6"/>
      <c r="B165" s="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9"/>
      <c r="AA165" s="9"/>
    </row>
    <row r="166" ht="14.25" customHeight="1">
      <c r="A166" s="6"/>
      <c r="B166" s="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9"/>
      <c r="AA166" s="9"/>
    </row>
    <row r="167" ht="14.25" customHeight="1">
      <c r="A167" s="6"/>
      <c r="B167" s="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9"/>
      <c r="AA167" s="9"/>
    </row>
    <row r="168" ht="14.25" customHeight="1">
      <c r="A168" s="6"/>
      <c r="B168" s="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9"/>
      <c r="AA168" s="9"/>
    </row>
    <row r="169" ht="14.25" customHeight="1">
      <c r="A169" s="6"/>
      <c r="B169" s="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9"/>
      <c r="AA169" s="9"/>
    </row>
    <row r="170" ht="14.25" customHeight="1">
      <c r="A170" s="6"/>
      <c r="B170" s="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"/>
      <c r="Z170" s="9"/>
      <c r="AA170" s="9"/>
    </row>
    <row r="171" ht="14.25" customHeight="1">
      <c r="A171" s="6"/>
      <c r="B171" s="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"/>
      <c r="Z171" s="9"/>
      <c r="AA171" s="9"/>
    </row>
    <row r="172" ht="14.25" customHeight="1">
      <c r="A172" s="6"/>
      <c r="B172" s="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9"/>
      <c r="AA172" s="9"/>
    </row>
    <row r="173" ht="14.25" customHeight="1">
      <c r="A173" s="6"/>
      <c r="B173" s="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"/>
      <c r="Z173" s="9"/>
      <c r="AA173" s="9"/>
    </row>
    <row r="174" ht="14.25" customHeight="1">
      <c r="A174" s="6"/>
      <c r="B174" s="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9"/>
      <c r="AA174" s="9"/>
    </row>
    <row r="175" ht="14.25" customHeight="1">
      <c r="A175" s="6"/>
      <c r="B175" s="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9"/>
      <c r="AA175" s="9"/>
    </row>
    <row r="176" ht="14.25" customHeight="1">
      <c r="A176" s="6"/>
      <c r="B176" s="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9"/>
      <c r="AA176" s="9"/>
    </row>
    <row r="177" ht="14.25" customHeight="1">
      <c r="A177" s="6"/>
      <c r="B177" s="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"/>
      <c r="Z177" s="9"/>
      <c r="AA177" s="9"/>
    </row>
    <row r="178" ht="14.25" customHeight="1">
      <c r="A178" s="6"/>
      <c r="B178" s="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"/>
      <c r="Z178" s="9"/>
      <c r="AA178" s="9"/>
    </row>
    <row r="179" ht="14.25" customHeight="1">
      <c r="A179" s="6"/>
      <c r="B179" s="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9"/>
      <c r="AA179" s="9"/>
    </row>
    <row r="180" ht="14.25" customHeight="1">
      <c r="A180" s="6"/>
      <c r="B180" s="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9"/>
      <c r="AA180" s="9"/>
    </row>
    <row r="181" ht="14.25" customHeight="1">
      <c r="A181" s="6"/>
      <c r="B181" s="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9"/>
      <c r="AA181" s="9"/>
    </row>
    <row r="182" ht="14.25" customHeight="1">
      <c r="A182" s="6"/>
      <c r="B182" s="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9"/>
      <c r="AA182" s="9"/>
    </row>
    <row r="183" ht="14.25" customHeight="1">
      <c r="A183" s="6"/>
      <c r="B183" s="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9"/>
      <c r="AA183" s="9"/>
    </row>
    <row r="184" ht="14.25" customHeight="1">
      <c r="A184" s="6"/>
      <c r="B184" s="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9"/>
      <c r="AA184" s="9"/>
    </row>
    <row r="185" ht="14.25" customHeight="1">
      <c r="A185" s="6"/>
      <c r="B185" s="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9"/>
      <c r="AA185" s="9"/>
    </row>
    <row r="186" ht="14.25" customHeight="1">
      <c r="A186" s="6"/>
      <c r="B186" s="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9"/>
      <c r="AA186" s="9"/>
    </row>
    <row r="187" ht="14.25" customHeight="1">
      <c r="A187" s="6"/>
      <c r="B187" s="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9"/>
      <c r="AA187" s="9"/>
    </row>
    <row r="188" ht="14.25" customHeight="1">
      <c r="A188" s="6"/>
      <c r="B188" s="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9"/>
      <c r="AA188" s="9"/>
    </row>
    <row r="189" ht="14.25" customHeight="1">
      <c r="A189" s="6"/>
      <c r="B189" s="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9"/>
      <c r="AA189" s="9"/>
    </row>
    <row r="190" ht="14.25" customHeight="1">
      <c r="A190" s="6"/>
      <c r="B190" s="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9"/>
      <c r="AA190" s="9"/>
    </row>
    <row r="191" ht="14.25" customHeight="1">
      <c r="A191" s="6"/>
      <c r="B191" s="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9"/>
      <c r="AA191" s="9"/>
    </row>
    <row r="192" ht="14.25" customHeight="1">
      <c r="A192" s="6"/>
      <c r="B192" s="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9"/>
      <c r="AA192" s="9"/>
    </row>
    <row r="193" ht="14.25" customHeight="1">
      <c r="A193" s="6"/>
      <c r="B193" s="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9"/>
      <c r="AA193" s="9"/>
    </row>
    <row r="194" ht="14.25" customHeight="1">
      <c r="A194" s="6"/>
      <c r="B194" s="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9"/>
      <c r="AA194" s="9"/>
    </row>
    <row r="195" ht="14.25" customHeight="1">
      <c r="A195" s="6"/>
      <c r="B195" s="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9"/>
      <c r="AA195" s="9"/>
    </row>
    <row r="196" ht="14.25" customHeight="1">
      <c r="A196" s="6"/>
      <c r="B196" s="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9"/>
      <c r="AA196" s="9"/>
    </row>
    <row r="197" ht="14.25" customHeight="1">
      <c r="A197" s="6"/>
      <c r="B197" s="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9"/>
      <c r="AA197" s="9"/>
    </row>
    <row r="198" ht="14.25" customHeight="1">
      <c r="A198" s="6"/>
      <c r="B198" s="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9"/>
      <c r="AA198" s="9"/>
    </row>
    <row r="199" ht="14.25" customHeight="1">
      <c r="A199" s="6"/>
      <c r="B199" s="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9"/>
      <c r="AA199" s="9"/>
    </row>
    <row r="200" ht="14.25" customHeight="1">
      <c r="A200" s="6"/>
      <c r="B200" s="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9"/>
      <c r="AA200" s="9"/>
    </row>
    <row r="201" ht="14.25" customHeight="1">
      <c r="A201" s="6"/>
      <c r="B201" s="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9"/>
      <c r="AA201" s="9"/>
    </row>
    <row r="202" ht="14.25" customHeight="1">
      <c r="A202" s="6"/>
      <c r="B202" s="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9"/>
      <c r="AA202" s="9"/>
    </row>
    <row r="203" ht="14.25" customHeight="1">
      <c r="A203" s="6"/>
      <c r="B203" s="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9"/>
      <c r="AA203" s="9"/>
    </row>
    <row r="204" ht="14.25" customHeight="1">
      <c r="A204" s="6"/>
      <c r="B204" s="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9"/>
      <c r="AA204" s="9"/>
    </row>
    <row r="205" ht="14.25" customHeight="1">
      <c r="A205" s="6"/>
      <c r="B205" s="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"/>
      <c r="Z205" s="9"/>
      <c r="AA205" s="9"/>
    </row>
    <row r="206" ht="14.25" customHeight="1">
      <c r="A206" s="6"/>
      <c r="B206" s="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9"/>
      <c r="AA206" s="9"/>
    </row>
    <row r="207" ht="14.25" customHeight="1">
      <c r="A207" s="6"/>
      <c r="B207" s="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9"/>
      <c r="AA207" s="9"/>
    </row>
    <row r="208" ht="14.25" customHeight="1">
      <c r="A208" s="6"/>
      <c r="B208" s="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9"/>
      <c r="AA208" s="9"/>
    </row>
    <row r="209" ht="14.25" customHeight="1">
      <c r="A209" s="6"/>
      <c r="B209" s="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9"/>
      <c r="AA209" s="9"/>
    </row>
    <row r="210" ht="14.25" customHeight="1">
      <c r="A210" s="6"/>
      <c r="B210" s="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9"/>
      <c r="AA210" s="9"/>
    </row>
    <row r="211" ht="14.25" customHeight="1">
      <c r="A211" s="6"/>
      <c r="B211" s="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9"/>
      <c r="AA211" s="9"/>
    </row>
    <row r="212" ht="14.25" customHeight="1">
      <c r="A212" s="6"/>
      <c r="B212" s="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9"/>
      <c r="AA212" s="9"/>
    </row>
    <row r="213" ht="14.25" customHeight="1">
      <c r="A213" s="6"/>
      <c r="B213" s="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9"/>
      <c r="Z213" s="9"/>
      <c r="AA213" s="9"/>
    </row>
    <row r="214" ht="14.25" customHeight="1">
      <c r="A214" s="6"/>
      <c r="B214" s="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9"/>
      <c r="AA214" s="9"/>
    </row>
    <row r="215" ht="14.25" customHeight="1">
      <c r="A215" s="6"/>
      <c r="B215" s="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9"/>
      <c r="AA215" s="9"/>
    </row>
    <row r="216" ht="14.25" customHeight="1">
      <c r="A216" s="6"/>
      <c r="B216" s="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9"/>
      <c r="AA216" s="9"/>
    </row>
    <row r="217" ht="14.25" customHeight="1">
      <c r="A217" s="6"/>
      <c r="B217" s="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9"/>
      <c r="AA217" s="9"/>
    </row>
    <row r="218" ht="14.25" customHeight="1">
      <c r="A218" s="6"/>
      <c r="B218" s="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9"/>
      <c r="AA218" s="9"/>
    </row>
    <row r="219" ht="14.25" customHeight="1">
      <c r="A219" s="6"/>
      <c r="B219" s="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9"/>
      <c r="AA219" s="9"/>
    </row>
    <row r="220" ht="14.25" customHeight="1">
      <c r="A220" s="6"/>
      <c r="B220" s="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9"/>
      <c r="AA220" s="9"/>
    </row>
    <row r="221" ht="14.25" customHeight="1">
      <c r="A221" s="6"/>
      <c r="B221" s="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9"/>
      <c r="AA221" s="9"/>
    </row>
    <row r="222" ht="14.25" customHeight="1">
      <c r="A222" s="6"/>
      <c r="B222" s="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9"/>
      <c r="AA222" s="9"/>
    </row>
    <row r="223" ht="14.25" customHeight="1">
      <c r="A223" s="6"/>
      <c r="B223" s="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9"/>
      <c r="AA223" s="9"/>
    </row>
    <row r="224" ht="14.25" customHeight="1">
      <c r="A224" s="6"/>
      <c r="B224" s="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9"/>
      <c r="AA224" s="9"/>
    </row>
    <row r="225" ht="14.25" customHeight="1">
      <c r="A225" s="6"/>
      <c r="B225" s="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9"/>
      <c r="AA225" s="9"/>
    </row>
    <row r="226" ht="14.25" customHeight="1">
      <c r="A226" s="6"/>
      <c r="B226" s="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9"/>
      <c r="AA226" s="9"/>
    </row>
    <row r="227" ht="14.25" customHeight="1">
      <c r="A227" s="6"/>
      <c r="B227" s="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9"/>
      <c r="AA227" s="9"/>
    </row>
    <row r="228" ht="14.25" customHeight="1">
      <c r="A228" s="6"/>
      <c r="B228" s="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9"/>
      <c r="AA228" s="9"/>
    </row>
    <row r="229" ht="14.25" customHeight="1">
      <c r="A229" s="6"/>
      <c r="B229" s="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9"/>
      <c r="AA229" s="9"/>
    </row>
    <row r="230" ht="14.25" customHeight="1">
      <c r="A230" s="6"/>
      <c r="B230" s="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9"/>
      <c r="AA230" s="9"/>
    </row>
    <row r="231" ht="14.25" customHeight="1">
      <c r="A231" s="6"/>
      <c r="B231" s="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9"/>
      <c r="AA231" s="9"/>
    </row>
    <row r="232" ht="14.25" customHeight="1">
      <c r="A232" s="6"/>
      <c r="B232" s="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9"/>
      <c r="AA232" s="9"/>
    </row>
    <row r="233" ht="14.25" customHeight="1">
      <c r="A233" s="6"/>
      <c r="B233" s="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9"/>
      <c r="AA233" s="9"/>
    </row>
    <row r="234" ht="14.25" customHeight="1">
      <c r="A234" s="6"/>
      <c r="B234" s="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9"/>
      <c r="AA234" s="9"/>
    </row>
    <row r="235" ht="14.25" customHeight="1">
      <c r="A235" s="6"/>
      <c r="B235" s="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9"/>
      <c r="AA235" s="9"/>
    </row>
    <row r="236" ht="14.25" customHeight="1">
      <c r="A236" s="6"/>
      <c r="B236" s="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9"/>
      <c r="AA236" s="9"/>
    </row>
    <row r="237" ht="14.25" customHeight="1">
      <c r="A237" s="6"/>
      <c r="B237" s="6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9"/>
      <c r="Z237" s="9"/>
      <c r="AA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48:A49"/>
    <mergeCell ref="B48:B49"/>
    <mergeCell ref="C48:C49"/>
    <mergeCell ref="A1:C1"/>
    <mergeCell ref="A44:A45"/>
    <mergeCell ref="B44:B45"/>
    <mergeCell ref="C44:C45"/>
    <mergeCell ref="A46:A47"/>
    <mergeCell ref="B46:B47"/>
    <mergeCell ref="C46:C47"/>
  </mergeCells>
  <dataValidations>
    <dataValidation type="list" allowBlank="1" showErrorMessage="1" sqref="C5:C6 E5:E6 G5:G6 I5:I6 K5:K6 C9 E9 G9 I9 K9 C12:C14 E12:E14 G12:G14 I12:I14 K12:K14 C17:C18 E17:E18 G17:G18 I17:I18 K17:K18 C23:C27 E23:E27 G23:G27 I23:I27 K23:K27 C36 E36 G36 I36 K36">
      <formula1>"0,1,2,3,4,5,6,7,8,9,10"</formula1>
    </dataValidation>
  </dataValidations>
  <printOptions/>
  <pageMargins bottom="0.75" footer="0.0" header="0.0" left="0.520833333333333" right="0.25" top="0.427083333333333"/>
  <pageSetup paperSize="14" orientation="landscape"/>
  <rowBreaks count="1" manualBreakCount="1">
    <brk id="21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4.29"/>
    <col customWidth="1" min="2" max="2" width="71.86"/>
    <col customWidth="1" min="3" max="3" width="37.0"/>
    <col customWidth="1" min="4" max="4" width="42.0"/>
    <col customWidth="1" min="5" max="6" width="47.57"/>
    <col customWidth="1" min="7" max="7" width="37.14"/>
    <col customWidth="1" min="8" max="8" width="37.86"/>
    <col customWidth="1" min="9" max="9" width="37.14"/>
    <col customWidth="1" min="10" max="10" width="37.86"/>
    <col customWidth="1" min="11" max="11" width="37.14"/>
    <col customWidth="1" min="12" max="12" width="37.86"/>
    <col customWidth="1" min="13" max="15" width="7.86"/>
    <col customWidth="1" min="16" max="24" width="8.71"/>
  </cols>
  <sheetData>
    <row r="1" ht="63.75" customHeight="1">
      <c r="A1" s="1" t="s">
        <v>0</v>
      </c>
      <c r="D1" s="1"/>
      <c r="E1" s="2" t="s">
        <v>1</v>
      </c>
      <c r="F1" s="2"/>
      <c r="G1" s="2"/>
      <c r="H1" s="3"/>
      <c r="I1" s="2" t="s">
        <v>3</v>
      </c>
      <c r="J1" s="3" t="str">
        <f>CHAIR!#REF!</f>
        <v>#ERROR!</v>
      </c>
      <c r="K1" s="2" t="s">
        <v>3</v>
      </c>
      <c r="L1" s="3" t="str">
        <f>CHAIR!#REF!</f>
        <v>#ERROR!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</row>
    <row r="2" ht="9.0" customHeight="1">
      <c r="A2" s="6"/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9"/>
      <c r="AA2" s="9"/>
    </row>
    <row r="3" ht="40.5" customHeight="1">
      <c r="A3" s="10" t="s">
        <v>5</v>
      </c>
      <c r="B3" s="11"/>
      <c r="C3" s="14"/>
      <c r="D3" s="13"/>
      <c r="E3" s="14"/>
      <c r="F3" s="13"/>
      <c r="G3" s="14"/>
      <c r="H3" s="13"/>
      <c r="I3" s="14"/>
      <c r="J3" s="13"/>
      <c r="K3" s="14"/>
      <c r="L3" s="1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9"/>
      <c r="AA3" s="9"/>
    </row>
    <row r="4" ht="44.25" customHeight="1">
      <c r="A4" s="15" t="s">
        <v>6</v>
      </c>
      <c r="B4" s="24" t="s">
        <v>7</v>
      </c>
      <c r="C4" s="27" t="str">
        <f>CHAIR!C4</f>
        <v>Jhonrey A. Cañete</v>
      </c>
      <c r="D4" s="18" t="s">
        <v>9</v>
      </c>
      <c r="E4" s="19" t="str">
        <f>CHAIR!E4</f>
        <v/>
      </c>
      <c r="F4" s="21" t="s">
        <v>9</v>
      </c>
      <c r="G4" s="31" t="str">
        <f>CHAIR!G4</f>
        <v>-</v>
      </c>
      <c r="H4" s="21" t="s">
        <v>9</v>
      </c>
      <c r="I4" s="31" t="str">
        <f>CHAIR!#REF!</f>
        <v>#ERROR!</v>
      </c>
      <c r="J4" s="21" t="s">
        <v>9</v>
      </c>
      <c r="K4" s="31" t="str">
        <f>CHAIR!#REF!</f>
        <v>#ERROR!</v>
      </c>
      <c r="L4" s="21" t="s">
        <v>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9"/>
      <c r="AA4" s="9"/>
    </row>
    <row r="5" ht="89.25" customHeight="1">
      <c r="A5" s="25" t="s">
        <v>11</v>
      </c>
      <c r="B5" s="26" t="s">
        <v>12</v>
      </c>
      <c r="C5" s="37">
        <v>4.0</v>
      </c>
      <c r="D5" s="26"/>
      <c r="E5" s="32"/>
      <c r="F5" s="26"/>
      <c r="G5" s="32"/>
      <c r="H5" s="26"/>
      <c r="I5" s="32"/>
      <c r="J5" s="26"/>
      <c r="K5" s="32"/>
      <c r="L5" s="26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9"/>
      <c r="AA5" s="9"/>
    </row>
    <row r="6" ht="89.25" customHeight="1">
      <c r="A6" s="25" t="s">
        <v>13</v>
      </c>
      <c r="B6" s="26" t="s">
        <v>14</v>
      </c>
      <c r="C6" s="37">
        <v>4.0</v>
      </c>
      <c r="D6" s="26"/>
      <c r="E6" s="32"/>
      <c r="F6" s="26"/>
      <c r="G6" s="32"/>
      <c r="H6" s="26"/>
      <c r="I6" s="32"/>
      <c r="J6" s="26"/>
      <c r="K6" s="32"/>
      <c r="L6" s="2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</row>
    <row r="7" ht="43.5" customHeight="1">
      <c r="A7" s="35"/>
      <c r="B7" s="36" t="s">
        <v>15</v>
      </c>
      <c r="C7" s="39">
        <f>SUM(C5:C6)</f>
        <v>8</v>
      </c>
      <c r="D7" s="39"/>
      <c r="E7" s="39">
        <f>SUM(E5:E6)</f>
        <v>0</v>
      </c>
      <c r="F7" s="39"/>
      <c r="G7" s="39">
        <f>SUM(G5:G6)</f>
        <v>0</v>
      </c>
      <c r="H7" s="39"/>
      <c r="I7" s="39">
        <f>SUM(I5:I6)</f>
        <v>0</v>
      </c>
      <c r="J7" s="39"/>
      <c r="K7" s="39">
        <f>SUM(K5:K6)</f>
        <v>0</v>
      </c>
      <c r="L7" s="39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9"/>
      <c r="AA7" s="9"/>
    </row>
    <row r="8" ht="43.5" customHeight="1">
      <c r="A8" s="15" t="s">
        <v>16</v>
      </c>
      <c r="B8" s="24" t="s">
        <v>7</v>
      </c>
      <c r="C8" s="21" t="str">
        <f>C4</f>
        <v>Jhonrey A. Cañete</v>
      </c>
      <c r="D8" s="21" t="s">
        <v>9</v>
      </c>
      <c r="E8" s="21" t="str">
        <f>E4</f>
        <v/>
      </c>
      <c r="F8" s="21" t="s">
        <v>9</v>
      </c>
      <c r="G8" s="21" t="str">
        <f>G4</f>
        <v>-</v>
      </c>
      <c r="H8" s="21" t="s">
        <v>9</v>
      </c>
      <c r="I8" s="21" t="str">
        <f>I4</f>
        <v>#ERROR!</v>
      </c>
      <c r="J8" s="21" t="s">
        <v>9</v>
      </c>
      <c r="K8" s="21" t="str">
        <f>K4</f>
        <v>#ERROR!</v>
      </c>
      <c r="L8" s="21" t="s">
        <v>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9"/>
      <c r="AA8" s="9"/>
    </row>
    <row r="9" ht="93.75" customHeight="1">
      <c r="A9" s="26" t="s">
        <v>29</v>
      </c>
      <c r="B9" s="26" t="s">
        <v>19</v>
      </c>
      <c r="C9" s="37">
        <v>4.0</v>
      </c>
      <c r="D9" s="26"/>
      <c r="E9" s="32"/>
      <c r="F9" s="26"/>
      <c r="G9" s="32"/>
      <c r="H9" s="26"/>
      <c r="I9" s="32"/>
      <c r="J9" s="26"/>
      <c r="K9" s="32"/>
      <c r="L9" s="26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9"/>
      <c r="AA9" s="9"/>
    </row>
    <row r="10" ht="43.5" customHeight="1">
      <c r="A10" s="35"/>
      <c r="B10" s="36" t="s">
        <v>15</v>
      </c>
      <c r="C10" s="39">
        <f>SUM(C9)</f>
        <v>4</v>
      </c>
      <c r="D10" s="39"/>
      <c r="E10" s="39">
        <f>SUM(E9)</f>
        <v>0</v>
      </c>
      <c r="F10" s="39"/>
      <c r="G10" s="39">
        <f>SUM(G9)</f>
        <v>0</v>
      </c>
      <c r="H10" s="39"/>
      <c r="I10" s="39">
        <f>SUM(I9)</f>
        <v>0</v>
      </c>
      <c r="J10" s="39"/>
      <c r="K10" s="39">
        <f>SUM(K9)</f>
        <v>0</v>
      </c>
      <c r="L10" s="39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"/>
      <c r="Z10" s="9"/>
      <c r="AA10" s="9"/>
    </row>
    <row r="11" ht="44.25" customHeight="1">
      <c r="A11" s="43" t="s">
        <v>20</v>
      </c>
      <c r="B11" s="24" t="s">
        <v>7</v>
      </c>
      <c r="C11" s="21" t="str">
        <f>C4</f>
        <v>Jhonrey A. Cañete</v>
      </c>
      <c r="D11" s="21" t="s">
        <v>9</v>
      </c>
      <c r="E11" s="21" t="str">
        <f>E4</f>
        <v/>
      </c>
      <c r="F11" s="21" t="s">
        <v>9</v>
      </c>
      <c r="G11" s="21" t="str">
        <f>G4</f>
        <v>-</v>
      </c>
      <c r="H11" s="21" t="s">
        <v>9</v>
      </c>
      <c r="I11" s="21" t="str">
        <f>I4</f>
        <v>#ERROR!</v>
      </c>
      <c r="J11" s="21" t="s">
        <v>9</v>
      </c>
      <c r="K11" s="21" t="str">
        <f>K4</f>
        <v>#ERROR!</v>
      </c>
      <c r="L11" s="21" t="s">
        <v>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9"/>
      <c r="AA11" s="9"/>
    </row>
    <row r="12" ht="81.0" customHeight="1">
      <c r="A12" s="44" t="s">
        <v>37</v>
      </c>
      <c r="B12" s="44" t="s">
        <v>22</v>
      </c>
      <c r="C12" s="53">
        <v>4.0</v>
      </c>
      <c r="D12" s="55"/>
      <c r="E12" s="47"/>
      <c r="F12" s="46"/>
      <c r="G12" s="47"/>
      <c r="H12" s="46"/>
      <c r="I12" s="47"/>
      <c r="J12" s="46"/>
      <c r="K12" s="47"/>
      <c r="L12" s="46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9"/>
      <c r="AA12" s="9"/>
    </row>
    <row r="13" ht="81.0" customHeight="1">
      <c r="A13" s="44" t="s">
        <v>41</v>
      </c>
      <c r="B13" s="44" t="s">
        <v>24</v>
      </c>
      <c r="C13" s="53">
        <v>4.0</v>
      </c>
      <c r="D13" s="46"/>
      <c r="E13" s="47"/>
      <c r="F13" s="46"/>
      <c r="G13" s="47"/>
      <c r="H13" s="46"/>
      <c r="I13" s="47"/>
      <c r="J13" s="46"/>
      <c r="K13" s="47"/>
      <c r="L13" s="46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9"/>
      <c r="AA13" s="9"/>
    </row>
    <row r="14" ht="81.0" customHeight="1">
      <c r="A14" s="25" t="s">
        <v>25</v>
      </c>
      <c r="B14" s="26" t="s">
        <v>26</v>
      </c>
      <c r="C14" s="37">
        <v>4.0</v>
      </c>
      <c r="D14" s="26"/>
      <c r="E14" s="32"/>
      <c r="F14" s="26"/>
      <c r="G14" s="32"/>
      <c r="H14" s="26"/>
      <c r="I14" s="32"/>
      <c r="J14" s="26"/>
      <c r="K14" s="32"/>
      <c r="L14" s="26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9"/>
      <c r="AA14" s="9"/>
    </row>
    <row r="15" ht="43.5" customHeight="1">
      <c r="A15" s="35"/>
      <c r="B15" s="36" t="s">
        <v>15</v>
      </c>
      <c r="C15" s="39">
        <f>SUM(C12:C14)</f>
        <v>12</v>
      </c>
      <c r="D15" s="39"/>
      <c r="E15" s="61">
        <f>SUM(E12:E14)</f>
        <v>0</v>
      </c>
      <c r="F15" s="39"/>
      <c r="G15" s="61">
        <f>SUM(G12:G14)</f>
        <v>0</v>
      </c>
      <c r="H15" s="39"/>
      <c r="I15" s="61">
        <f>SUM(I12:I14)</f>
        <v>0</v>
      </c>
      <c r="J15" s="39"/>
      <c r="K15" s="61">
        <f>SUM(K12:K14)</f>
        <v>0</v>
      </c>
      <c r="L15" s="39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9"/>
      <c r="Z15" s="9"/>
      <c r="AA15" s="9"/>
    </row>
    <row r="16" ht="43.5" customHeight="1">
      <c r="A16" s="43" t="s">
        <v>28</v>
      </c>
      <c r="B16" s="24" t="s">
        <v>7</v>
      </c>
      <c r="C16" s="21" t="str">
        <f>C11</f>
        <v>Jhonrey A. Cañete</v>
      </c>
      <c r="D16" s="21" t="s">
        <v>9</v>
      </c>
      <c r="E16" s="21" t="str">
        <f>E11</f>
        <v/>
      </c>
      <c r="F16" s="21" t="s">
        <v>9</v>
      </c>
      <c r="G16" s="21" t="str">
        <f>G11</f>
        <v>-</v>
      </c>
      <c r="H16" s="21" t="s">
        <v>9</v>
      </c>
      <c r="I16" s="21" t="str">
        <f>I11</f>
        <v>#ERROR!</v>
      </c>
      <c r="J16" s="21" t="s">
        <v>9</v>
      </c>
      <c r="K16" s="21" t="str">
        <f>K11</f>
        <v>#ERROR!</v>
      </c>
      <c r="L16" s="21" t="s">
        <v>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9"/>
      <c r="AA16" s="9"/>
    </row>
    <row r="17" ht="55.5" customHeight="1">
      <c r="A17" s="25" t="s">
        <v>30</v>
      </c>
      <c r="B17" s="26" t="s">
        <v>31</v>
      </c>
      <c r="C17" s="37">
        <v>4.0</v>
      </c>
      <c r="D17" s="26"/>
      <c r="E17" s="32"/>
      <c r="F17" s="26"/>
      <c r="G17" s="32"/>
      <c r="H17" s="26"/>
      <c r="I17" s="32"/>
      <c r="J17" s="26"/>
      <c r="K17" s="32"/>
      <c r="L17" s="26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9"/>
      <c r="AA17" s="9"/>
    </row>
    <row r="18" ht="49.5" customHeight="1">
      <c r="A18" s="46" t="s">
        <v>60</v>
      </c>
      <c r="B18" s="46" t="s">
        <v>33</v>
      </c>
      <c r="C18" s="53">
        <v>4.0</v>
      </c>
      <c r="D18" s="46"/>
      <c r="E18" s="47"/>
      <c r="F18" s="46"/>
      <c r="G18" s="47"/>
      <c r="H18" s="46"/>
      <c r="I18" s="47"/>
      <c r="J18" s="46"/>
      <c r="K18" s="47"/>
      <c r="L18" s="46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9"/>
      <c r="Z18" s="9"/>
      <c r="AA18" s="9"/>
    </row>
    <row r="19" ht="43.5" customHeight="1">
      <c r="A19" s="74"/>
      <c r="B19" s="77" t="s">
        <v>15</v>
      </c>
      <c r="C19" s="78">
        <f>SUM(C17:C18)</f>
        <v>8</v>
      </c>
      <c r="D19" s="78"/>
      <c r="E19" s="78">
        <f>SUM(E17:E18)</f>
        <v>0</v>
      </c>
      <c r="F19" s="78"/>
      <c r="G19" s="78">
        <f>SUM(G17:G18)</f>
        <v>0</v>
      </c>
      <c r="H19" s="78"/>
      <c r="I19" s="78">
        <f>SUM(I17:I18)</f>
        <v>0</v>
      </c>
      <c r="J19" s="78"/>
      <c r="K19" s="78">
        <f>SUM(K17:K18)</f>
        <v>0</v>
      </c>
      <c r="L19" s="7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9"/>
      <c r="Z19" s="9"/>
      <c r="AA19" s="9"/>
    </row>
    <row r="20" ht="37.5" customHeight="1">
      <c r="A20" s="88"/>
      <c r="B20" s="89" t="s">
        <v>34</v>
      </c>
      <c r="C20" s="85">
        <f>SUM(C7,C10,C15)</f>
        <v>24</v>
      </c>
      <c r="D20" s="86"/>
      <c r="E20" s="85">
        <f>SUM(E7,E10,E15)</f>
        <v>0</v>
      </c>
      <c r="F20" s="86"/>
      <c r="G20" s="85">
        <f>SUM(G7,G10,G15)</f>
        <v>0</v>
      </c>
      <c r="H20" s="86"/>
      <c r="I20" s="85">
        <f>SUM(I7,I10,I15)</f>
        <v>0</v>
      </c>
      <c r="J20" s="86"/>
      <c r="K20" s="85">
        <f>SUM(K7,K10,K15)</f>
        <v>0</v>
      </c>
      <c r="L20" s="86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9"/>
      <c r="AA20" s="9"/>
    </row>
    <row r="21" ht="37.5" customHeight="1">
      <c r="A21" s="54" t="s">
        <v>38</v>
      </c>
      <c r="B21" s="56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9"/>
      <c r="AA21" s="9"/>
    </row>
    <row r="22" ht="44.25" customHeight="1">
      <c r="A22" s="58"/>
      <c r="B22" s="24" t="s">
        <v>40</v>
      </c>
      <c r="C22" s="21" t="str">
        <f>C16</f>
        <v>Jhonrey A. Cañete</v>
      </c>
      <c r="D22" s="21" t="s">
        <v>9</v>
      </c>
      <c r="E22" s="21" t="str">
        <f>E16</f>
        <v/>
      </c>
      <c r="F22" s="21" t="s">
        <v>9</v>
      </c>
      <c r="G22" s="21" t="str">
        <f>G16</f>
        <v>-</v>
      </c>
      <c r="H22" s="21" t="s">
        <v>9</v>
      </c>
      <c r="I22" s="21" t="str">
        <f>I16</f>
        <v>#ERROR!</v>
      </c>
      <c r="J22" s="21" t="s">
        <v>9</v>
      </c>
      <c r="K22" s="21" t="str">
        <f>K16</f>
        <v>#ERROR!</v>
      </c>
      <c r="L22" s="21" t="s">
        <v>9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9"/>
      <c r="AA22" s="9"/>
    </row>
    <row r="23" ht="48.75" customHeight="1">
      <c r="A23" s="59" t="s">
        <v>43</v>
      </c>
      <c r="B23" s="44" t="s">
        <v>44</v>
      </c>
      <c r="C23" s="53">
        <v>4.0</v>
      </c>
      <c r="D23" s="46"/>
      <c r="E23" s="47"/>
      <c r="F23" s="46"/>
      <c r="G23" s="47"/>
      <c r="H23" s="46"/>
      <c r="I23" s="47"/>
      <c r="J23" s="46"/>
      <c r="K23" s="47"/>
      <c r="L23" s="4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9"/>
      <c r="AA23" s="9"/>
    </row>
    <row r="24" ht="48.75" customHeight="1">
      <c r="A24" s="59" t="s">
        <v>45</v>
      </c>
      <c r="B24" s="44" t="s">
        <v>46</v>
      </c>
      <c r="C24" s="53">
        <v>4.0</v>
      </c>
      <c r="D24" s="46"/>
      <c r="E24" s="47"/>
      <c r="F24" s="46"/>
      <c r="G24" s="47"/>
      <c r="H24" s="46"/>
      <c r="I24" s="47"/>
      <c r="J24" s="46"/>
      <c r="K24" s="47"/>
      <c r="L24" s="46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9"/>
      <c r="AA24" s="9"/>
    </row>
    <row r="25" ht="48.75" customHeight="1">
      <c r="A25" s="59" t="s">
        <v>47</v>
      </c>
      <c r="B25" s="44" t="s">
        <v>48</v>
      </c>
      <c r="C25" s="53">
        <v>4.0</v>
      </c>
      <c r="D25" s="46"/>
      <c r="E25" s="47"/>
      <c r="F25" s="46"/>
      <c r="G25" s="47"/>
      <c r="H25" s="46"/>
      <c r="I25" s="47"/>
      <c r="J25" s="46"/>
      <c r="K25" s="47"/>
      <c r="L25" s="46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9"/>
      <c r="AA25" s="9"/>
    </row>
    <row r="26" ht="48.75" customHeight="1">
      <c r="A26" s="59" t="s">
        <v>49</v>
      </c>
      <c r="B26" s="44" t="s">
        <v>50</v>
      </c>
      <c r="C26" s="53">
        <v>4.0</v>
      </c>
      <c r="D26" s="46"/>
      <c r="E26" s="47"/>
      <c r="F26" s="46"/>
      <c r="G26" s="47"/>
      <c r="H26" s="46"/>
      <c r="I26" s="47"/>
      <c r="J26" s="46"/>
      <c r="K26" s="47"/>
      <c r="L26" s="46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9"/>
      <c r="AA26" s="9"/>
    </row>
    <row r="27" ht="48.75" customHeight="1">
      <c r="A27" s="25" t="s">
        <v>51</v>
      </c>
      <c r="B27" s="26" t="s">
        <v>52</v>
      </c>
      <c r="C27" s="37">
        <v>4.0</v>
      </c>
      <c r="D27" s="26"/>
      <c r="E27" s="32"/>
      <c r="F27" s="26"/>
      <c r="G27" s="32"/>
      <c r="H27" s="26"/>
      <c r="I27" s="32"/>
      <c r="J27" s="26"/>
      <c r="K27" s="32"/>
      <c r="L27" s="26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9"/>
      <c r="AA27" s="9"/>
    </row>
    <row r="28" ht="43.5" customHeight="1">
      <c r="A28" s="63"/>
      <c r="B28" s="64" t="s">
        <v>34</v>
      </c>
      <c r="C28" s="66">
        <f>SUM(C23:C27)</f>
        <v>20</v>
      </c>
      <c r="D28" s="66"/>
      <c r="E28" s="66">
        <f>SUM(E23:E27)</f>
        <v>0</v>
      </c>
      <c r="F28" s="66"/>
      <c r="G28" s="66">
        <f>SUM(G23:G27)</f>
        <v>0</v>
      </c>
      <c r="H28" s="66"/>
      <c r="I28" s="66">
        <f>SUM(I23:I27)</f>
        <v>0</v>
      </c>
      <c r="J28" s="66"/>
      <c r="K28" s="66">
        <f>SUM(K23:K27)</f>
        <v>0</v>
      </c>
      <c r="L28" s="66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9"/>
      <c r="Z28" s="9"/>
      <c r="AA28" s="9"/>
    </row>
    <row r="29" ht="45.0" customHeight="1">
      <c r="A29" s="54" t="s">
        <v>55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9"/>
      <c r="AA29" s="9"/>
    </row>
    <row r="30" ht="43.5" customHeight="1">
      <c r="A30" s="67"/>
      <c r="B30" s="24" t="s">
        <v>57</v>
      </c>
      <c r="C30" s="69" t="str">
        <f>C22</f>
        <v>Jhonrey A. Cañete</v>
      </c>
      <c r="D30" s="69" t="s">
        <v>9</v>
      </c>
      <c r="E30" s="69" t="str">
        <f>E22</f>
        <v/>
      </c>
      <c r="F30" s="69" t="s">
        <v>9</v>
      </c>
      <c r="G30" s="69" t="str">
        <f>G22</f>
        <v>-</v>
      </c>
      <c r="H30" s="69" t="s">
        <v>9</v>
      </c>
      <c r="I30" s="69" t="str">
        <f>I22</f>
        <v>#ERROR!</v>
      </c>
      <c r="J30" s="69" t="s">
        <v>9</v>
      </c>
      <c r="K30" s="69" t="str">
        <f>K22</f>
        <v>#ERROR!</v>
      </c>
      <c r="L30" s="69" t="s">
        <v>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  <c r="Z30" s="5"/>
      <c r="AA30" s="5"/>
    </row>
    <row r="31" ht="43.5" customHeight="1">
      <c r="A31" s="70" t="s">
        <v>61</v>
      </c>
      <c r="B31" s="71" t="s">
        <v>62</v>
      </c>
      <c r="C31" s="106">
        <v>5.0</v>
      </c>
      <c r="D31" s="75"/>
      <c r="E31" s="75"/>
      <c r="F31" s="75"/>
      <c r="G31" s="75"/>
      <c r="H31" s="75"/>
      <c r="I31" s="75"/>
      <c r="J31" s="75"/>
      <c r="K31" s="75"/>
      <c r="L31" s="75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5"/>
      <c r="AA31" s="5"/>
    </row>
    <row r="32" ht="43.5" customHeight="1">
      <c r="A32" s="70" t="s">
        <v>63</v>
      </c>
      <c r="B32" s="71" t="s">
        <v>62</v>
      </c>
      <c r="C32" s="106">
        <v>5.0</v>
      </c>
      <c r="D32" s="75"/>
      <c r="E32" s="75"/>
      <c r="F32" s="75"/>
      <c r="G32" s="75"/>
      <c r="H32" s="75"/>
      <c r="I32" s="75"/>
      <c r="J32" s="75"/>
      <c r="K32" s="75"/>
      <c r="L32" s="75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5"/>
      <c r="AA32" s="5"/>
    </row>
    <row r="33" ht="43.5" customHeight="1">
      <c r="A33" s="70" t="s">
        <v>64</v>
      </c>
      <c r="B33" s="71" t="s">
        <v>62</v>
      </c>
      <c r="C33" s="106">
        <v>5.0</v>
      </c>
      <c r="D33" s="75"/>
      <c r="E33" s="75"/>
      <c r="F33" s="75"/>
      <c r="G33" s="75"/>
      <c r="H33" s="75"/>
      <c r="I33" s="75"/>
      <c r="J33" s="75"/>
      <c r="K33" s="75"/>
      <c r="L33" s="75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5"/>
      <c r="AA33" s="5"/>
    </row>
    <row r="34" ht="43.5" customHeight="1">
      <c r="A34" s="70" t="s">
        <v>65</v>
      </c>
      <c r="B34" s="71" t="s">
        <v>66</v>
      </c>
      <c r="C34" s="106">
        <v>8.0</v>
      </c>
      <c r="D34" s="75"/>
      <c r="E34" s="75"/>
      <c r="F34" s="75"/>
      <c r="G34" s="75"/>
      <c r="H34" s="75"/>
      <c r="I34" s="75"/>
      <c r="J34" s="75"/>
      <c r="K34" s="75"/>
      <c r="L34" s="75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5"/>
      <c r="AA34" s="5"/>
    </row>
    <row r="35" ht="43.5" customHeight="1">
      <c r="A35" s="70" t="s">
        <v>67</v>
      </c>
      <c r="B35" s="71" t="s">
        <v>66</v>
      </c>
      <c r="C35" s="106">
        <v>8.0</v>
      </c>
      <c r="D35" s="75"/>
      <c r="E35" s="75"/>
      <c r="F35" s="75"/>
      <c r="G35" s="75"/>
      <c r="H35" s="75"/>
      <c r="I35" s="75"/>
      <c r="J35" s="75"/>
      <c r="K35" s="75"/>
      <c r="L35" s="75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5"/>
      <c r="AA35" s="5"/>
    </row>
    <row r="36" ht="42.75" customHeight="1">
      <c r="A36" s="70" t="s">
        <v>68</v>
      </c>
      <c r="B36" s="71" t="s">
        <v>66</v>
      </c>
      <c r="C36" s="106">
        <v>8.0</v>
      </c>
      <c r="D36" s="79"/>
      <c r="E36" s="75"/>
      <c r="F36" s="79"/>
      <c r="G36" s="75"/>
      <c r="H36" s="79"/>
      <c r="I36" s="75"/>
      <c r="J36" s="79"/>
      <c r="K36" s="75"/>
      <c r="L36" s="79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9"/>
      <c r="Z36" s="9"/>
      <c r="AA36" s="9"/>
    </row>
    <row r="37" ht="41.25" customHeight="1">
      <c r="A37" s="80" t="s">
        <v>69</v>
      </c>
      <c r="B37" s="71" t="s">
        <v>62</v>
      </c>
      <c r="C37" s="114">
        <v>5.0</v>
      </c>
      <c r="D37" s="82"/>
      <c r="E37" s="84"/>
      <c r="F37" s="82"/>
      <c r="G37" s="84"/>
      <c r="H37" s="82"/>
      <c r="I37" s="84"/>
      <c r="J37" s="82"/>
      <c r="K37" s="84"/>
      <c r="L37" s="8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  <c r="Z37" s="5"/>
      <c r="AA37" s="5"/>
    </row>
    <row r="38" ht="41.25" customHeight="1">
      <c r="A38" s="80" t="s">
        <v>70</v>
      </c>
      <c r="B38" s="71" t="s">
        <v>62</v>
      </c>
      <c r="C38" s="114">
        <v>5.0</v>
      </c>
      <c r="D38" s="82"/>
      <c r="E38" s="84"/>
      <c r="F38" s="82"/>
      <c r="G38" s="84"/>
      <c r="H38" s="82"/>
      <c r="I38" s="84"/>
      <c r="J38" s="82"/>
      <c r="K38" s="84"/>
      <c r="L38" s="8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5"/>
      <c r="AA38" s="5"/>
    </row>
    <row r="39" ht="41.25" customHeight="1">
      <c r="A39" s="80" t="s">
        <v>71</v>
      </c>
      <c r="B39" s="71" t="s">
        <v>66</v>
      </c>
      <c r="C39" s="116">
        <v>10.0</v>
      </c>
      <c r="D39" s="82"/>
      <c r="E39" s="84"/>
      <c r="F39" s="82"/>
      <c r="G39" s="84"/>
      <c r="H39" s="82"/>
      <c r="I39" s="84"/>
      <c r="J39" s="82"/>
      <c r="K39" s="84"/>
      <c r="L39" s="8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5"/>
      <c r="AA39" s="5"/>
    </row>
    <row r="40" ht="41.25" customHeight="1">
      <c r="A40" s="80" t="s">
        <v>72</v>
      </c>
      <c r="B40" s="71" t="s">
        <v>62</v>
      </c>
      <c r="C40" s="116">
        <v>5.0</v>
      </c>
      <c r="D40" s="82"/>
      <c r="E40" s="84"/>
      <c r="F40" s="82"/>
      <c r="G40" s="84"/>
      <c r="H40" s="82"/>
      <c r="I40" s="84"/>
      <c r="J40" s="82"/>
      <c r="K40" s="84"/>
      <c r="L40" s="82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5"/>
      <c r="AA40" s="5"/>
    </row>
    <row r="41" ht="41.25" customHeight="1">
      <c r="A41" s="90" t="s">
        <v>73</v>
      </c>
      <c r="B41" s="71" t="s">
        <v>62</v>
      </c>
      <c r="C41" s="116">
        <v>5.0</v>
      </c>
      <c r="D41" s="82"/>
      <c r="E41" s="84"/>
      <c r="F41" s="82"/>
      <c r="G41" s="84"/>
      <c r="H41" s="82"/>
      <c r="I41" s="84"/>
      <c r="J41" s="82"/>
      <c r="K41" s="84"/>
      <c r="L41" s="8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5"/>
      <c r="AA41" s="5"/>
    </row>
    <row r="42" ht="41.25" customHeight="1">
      <c r="A42" s="90" t="s">
        <v>74</v>
      </c>
      <c r="B42" s="71" t="s">
        <v>62</v>
      </c>
      <c r="C42" s="116">
        <v>5.0</v>
      </c>
      <c r="D42" s="82"/>
      <c r="E42" s="84"/>
      <c r="F42" s="82"/>
      <c r="G42" s="84"/>
      <c r="H42" s="82"/>
      <c r="I42" s="84"/>
      <c r="J42" s="82"/>
      <c r="K42" s="84"/>
      <c r="L42" s="82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5"/>
      <c r="AA42" s="5"/>
    </row>
    <row r="43" ht="43.5" customHeight="1">
      <c r="A43" s="35"/>
      <c r="B43" s="36" t="s">
        <v>34</v>
      </c>
      <c r="C43" s="39">
        <f>SUM(C31:C42)</f>
        <v>74</v>
      </c>
      <c r="D43" s="39"/>
      <c r="E43" s="39">
        <f>SUM(E31:E42)</f>
        <v>0</v>
      </c>
      <c r="F43" s="39"/>
      <c r="G43" s="39">
        <f>SUM(G31:G42)</f>
        <v>0</v>
      </c>
      <c r="H43" s="39"/>
      <c r="I43" s="39">
        <f>SUM(I31:I42)</f>
        <v>0</v>
      </c>
      <c r="J43" s="39"/>
      <c r="K43" s="39">
        <f>SUM(K31:K42)</f>
        <v>0</v>
      </c>
      <c r="L43" s="39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9"/>
      <c r="Z43" s="9"/>
      <c r="AA43" s="9"/>
    </row>
    <row r="44" ht="14.25" customHeight="1">
      <c r="A44" s="95"/>
      <c r="B44" s="97"/>
      <c r="C44" s="97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"/>
      <c r="Z44" s="9"/>
      <c r="AA44" s="9"/>
    </row>
    <row r="45" ht="14.25" customHeight="1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9"/>
      <c r="Z45" s="9"/>
      <c r="AA45" s="9"/>
    </row>
    <row r="46" ht="14.25" customHeight="1">
      <c r="A46" s="99"/>
      <c r="B46" s="97"/>
      <c r="C46" s="9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  <c r="Z46" s="9"/>
      <c r="AA46" s="9"/>
    </row>
    <row r="47" ht="14.25" customHeight="1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"/>
      <c r="Z47" s="9"/>
      <c r="AA47" s="9"/>
    </row>
    <row r="48" ht="14.25" customHeight="1">
      <c r="A48" s="95"/>
      <c r="B48" s="97"/>
      <c r="C48" s="9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"/>
      <c r="Z48" s="9"/>
      <c r="AA48" s="9"/>
    </row>
    <row r="49" ht="14.25" customHeight="1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"/>
      <c r="Z49" s="9"/>
      <c r="AA49" s="9"/>
    </row>
    <row r="50" ht="14.25" customHeight="1">
      <c r="A50" s="6"/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"/>
      <c r="Z50" s="9"/>
      <c r="AA50" s="9"/>
    </row>
    <row r="51" ht="14.25" customHeight="1">
      <c r="A51" s="6"/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"/>
      <c r="Z51" s="9"/>
      <c r="AA51" s="9"/>
    </row>
    <row r="52" ht="14.25" customHeight="1">
      <c r="A52" s="6"/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  <c r="Z52" s="9"/>
      <c r="AA52" s="9"/>
    </row>
    <row r="53" ht="14.25" customHeight="1">
      <c r="A53" s="6"/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  <c r="Z53" s="9"/>
      <c r="AA53" s="9"/>
    </row>
    <row r="54" ht="14.25" customHeight="1">
      <c r="A54" s="6"/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"/>
      <c r="Z54" s="9"/>
      <c r="AA54" s="9"/>
    </row>
    <row r="55" ht="14.25" customHeight="1">
      <c r="A55" s="6"/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"/>
      <c r="Z55" s="9"/>
      <c r="AA55" s="9"/>
    </row>
    <row r="56" ht="14.25" customHeight="1">
      <c r="A56" s="6"/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9"/>
      <c r="AA56" s="9"/>
    </row>
    <row r="57" ht="14.25" customHeight="1">
      <c r="A57" s="6"/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  <c r="Z57" s="9"/>
      <c r="AA57" s="9"/>
    </row>
    <row r="58" ht="14.25" customHeight="1">
      <c r="A58" s="6"/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9"/>
      <c r="AA58" s="9"/>
    </row>
    <row r="59" ht="14.25" customHeight="1">
      <c r="A59" s="6"/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9"/>
      <c r="AA59" s="9"/>
    </row>
    <row r="60" ht="14.25" customHeight="1">
      <c r="A60" s="6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9"/>
      <c r="AA60" s="9"/>
    </row>
    <row r="61" ht="14.25" customHeight="1">
      <c r="A61" s="6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9"/>
      <c r="AA61" s="9"/>
    </row>
    <row r="62" ht="14.25" customHeight="1">
      <c r="A62" s="6"/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9"/>
      <c r="AA62" s="9"/>
    </row>
    <row r="63" ht="14.25" customHeight="1">
      <c r="A63" s="6"/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9"/>
      <c r="AA63" s="9"/>
    </row>
    <row r="64" ht="14.25" customHeight="1">
      <c r="A64" s="6"/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9"/>
      <c r="AA64" s="9"/>
    </row>
    <row r="65" ht="14.25" customHeight="1">
      <c r="A65" s="6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"/>
      <c r="Z65" s="9"/>
      <c r="AA65" s="9"/>
    </row>
    <row r="66" ht="14.25" customHeight="1">
      <c r="A66" s="6"/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9"/>
      <c r="AA66" s="9"/>
    </row>
    <row r="67" ht="14.25" customHeight="1">
      <c r="A67" s="6"/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9"/>
      <c r="AA67" s="9"/>
    </row>
    <row r="68" ht="14.25" customHeight="1">
      <c r="A68" s="6"/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9"/>
      <c r="AA68" s="9"/>
    </row>
    <row r="69" ht="14.25" customHeight="1">
      <c r="A69" s="6"/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  <c r="Z69" s="9"/>
      <c r="AA69" s="9"/>
    </row>
    <row r="70" ht="14.25" customHeight="1">
      <c r="A70" s="6"/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9"/>
      <c r="AA70" s="9"/>
    </row>
    <row r="71" ht="14.25" customHeight="1">
      <c r="A71" s="6"/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9"/>
      <c r="AA71" s="9"/>
    </row>
    <row r="72" ht="14.25" customHeight="1">
      <c r="A72" s="6"/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9"/>
      <c r="AA72" s="9"/>
    </row>
    <row r="73" ht="14.25" customHeight="1">
      <c r="A73" s="6"/>
      <c r="B73" s="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  <c r="Z73" s="9"/>
      <c r="AA73" s="9"/>
    </row>
    <row r="74" ht="14.25" customHeight="1">
      <c r="A74" s="6"/>
      <c r="B74" s="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9"/>
      <c r="AA74" s="9"/>
    </row>
    <row r="75" ht="14.25" customHeight="1">
      <c r="A75" s="6"/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9"/>
      <c r="AA75" s="9"/>
    </row>
    <row r="76" ht="14.25" customHeight="1">
      <c r="A76" s="6"/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9"/>
      <c r="AA76" s="9"/>
    </row>
    <row r="77" ht="14.25" customHeight="1">
      <c r="A77" s="6"/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9"/>
      <c r="AA77" s="9"/>
    </row>
    <row r="78" ht="14.25" customHeight="1">
      <c r="A78" s="6"/>
      <c r="B78" s="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9"/>
      <c r="AA78" s="9"/>
    </row>
    <row r="79" ht="14.25" customHeight="1">
      <c r="A79" s="6"/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9"/>
      <c r="AA79" s="9"/>
    </row>
    <row r="80" ht="14.25" customHeight="1">
      <c r="A80" s="6"/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9"/>
      <c r="AA80" s="9"/>
    </row>
    <row r="81" ht="14.25" customHeight="1">
      <c r="A81" s="6"/>
      <c r="B81" s="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9"/>
      <c r="AA81" s="9"/>
    </row>
    <row r="82" ht="14.25" customHeight="1">
      <c r="A82" s="6"/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9"/>
      <c r="AA82" s="9"/>
    </row>
    <row r="83" ht="14.25" customHeight="1">
      <c r="A83" s="6"/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9"/>
      <c r="AA83" s="9"/>
    </row>
    <row r="84" ht="14.25" customHeight="1">
      <c r="A84" s="6"/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9"/>
      <c r="AA84" s="9"/>
    </row>
    <row r="85" ht="14.25" customHeight="1">
      <c r="A85" s="6"/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9"/>
      <c r="AA85" s="9"/>
    </row>
    <row r="86" ht="14.25" customHeight="1">
      <c r="A86" s="6"/>
      <c r="B86" s="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9"/>
      <c r="AA86" s="9"/>
    </row>
    <row r="87" ht="14.25" customHeight="1">
      <c r="A87" s="6"/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9"/>
      <c r="AA87" s="9"/>
    </row>
    <row r="88" ht="14.25" customHeight="1">
      <c r="A88" s="6"/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9"/>
      <c r="AA88" s="9"/>
    </row>
    <row r="89" ht="14.25" customHeight="1">
      <c r="A89" s="6"/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9"/>
      <c r="AA89" s="9"/>
    </row>
    <row r="90" ht="14.25" customHeight="1">
      <c r="A90" s="6"/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9"/>
      <c r="AA90" s="9"/>
    </row>
    <row r="91" ht="14.25" customHeight="1">
      <c r="A91" s="6"/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9"/>
      <c r="AA91" s="9"/>
    </row>
    <row r="92" ht="14.25" customHeight="1">
      <c r="A92" s="6"/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9"/>
      <c r="AA92" s="9"/>
    </row>
    <row r="93" ht="14.25" customHeight="1">
      <c r="A93" s="6"/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  <c r="Z93" s="9"/>
      <c r="AA93" s="9"/>
    </row>
    <row r="94" ht="14.25" customHeight="1">
      <c r="A94" s="6"/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9"/>
      <c r="AA94" s="9"/>
    </row>
    <row r="95" ht="14.25" customHeight="1">
      <c r="A95" s="6"/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9"/>
      <c r="AA95" s="9"/>
    </row>
    <row r="96" ht="14.25" customHeight="1">
      <c r="A96" s="6"/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9"/>
      <c r="AA96" s="9"/>
    </row>
    <row r="97" ht="14.25" customHeight="1">
      <c r="A97" s="6"/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9"/>
      <c r="AA97" s="9"/>
    </row>
    <row r="98" ht="14.25" customHeight="1">
      <c r="A98" s="6"/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9"/>
      <c r="AA98" s="9"/>
    </row>
    <row r="99" ht="14.25" customHeight="1">
      <c r="A99" s="6"/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9"/>
      <c r="AA99" s="9"/>
    </row>
    <row r="100" ht="14.25" customHeight="1">
      <c r="A100" s="6"/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9"/>
      <c r="AA100" s="9"/>
    </row>
    <row r="101" ht="14.25" customHeight="1">
      <c r="A101" s="6"/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9"/>
      <c r="AA101" s="9"/>
    </row>
    <row r="102" ht="14.25" customHeight="1">
      <c r="A102" s="6"/>
      <c r="B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9"/>
      <c r="AA102" s="9"/>
    </row>
    <row r="103" ht="14.25" customHeight="1">
      <c r="A103" s="6"/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9"/>
      <c r="AA103" s="9"/>
    </row>
    <row r="104" ht="14.25" customHeight="1">
      <c r="A104" s="6"/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9"/>
      <c r="AA104" s="9"/>
    </row>
    <row r="105" ht="14.25" customHeight="1">
      <c r="A105" s="6"/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9"/>
      <c r="AA105" s="9"/>
    </row>
    <row r="106" ht="14.25" customHeight="1">
      <c r="A106" s="6"/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9"/>
      <c r="AA106" s="9"/>
    </row>
    <row r="107" ht="14.25" customHeight="1">
      <c r="A107" s="6"/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9"/>
      <c r="AA107" s="9"/>
    </row>
    <row r="108" ht="14.25" customHeight="1">
      <c r="A108" s="6"/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"/>
      <c r="Z108" s="9"/>
      <c r="AA108" s="9"/>
    </row>
    <row r="109" ht="14.25" customHeight="1">
      <c r="A109" s="6"/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9"/>
      <c r="AA109" s="9"/>
    </row>
    <row r="110" ht="14.25" customHeight="1">
      <c r="A110" s="6"/>
      <c r="B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9"/>
      <c r="AA110" s="9"/>
    </row>
    <row r="111" ht="14.25" customHeight="1">
      <c r="A111" s="6"/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9"/>
      <c r="AA111" s="9"/>
    </row>
    <row r="112" ht="14.25" customHeight="1">
      <c r="A112" s="6"/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9"/>
      <c r="AA112" s="9"/>
    </row>
    <row r="113" ht="14.25" customHeight="1">
      <c r="A113" s="6"/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9"/>
      <c r="AA113" s="9"/>
    </row>
    <row r="114" ht="14.25" customHeight="1">
      <c r="A114" s="6"/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9"/>
      <c r="AA114" s="9"/>
    </row>
    <row r="115" ht="14.25" customHeight="1">
      <c r="A115" s="6"/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"/>
      <c r="Z115" s="9"/>
      <c r="AA115" s="9"/>
    </row>
    <row r="116" ht="14.25" customHeight="1">
      <c r="A116" s="6"/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9"/>
      <c r="AA116" s="9"/>
    </row>
    <row r="117" ht="14.25" customHeight="1">
      <c r="A117" s="6"/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9"/>
      <c r="AA117" s="9"/>
    </row>
    <row r="118" ht="14.25" customHeight="1">
      <c r="A118" s="6"/>
      <c r="B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9"/>
      <c r="AA118" s="9"/>
    </row>
    <row r="119" ht="14.25" customHeight="1">
      <c r="A119" s="6"/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9"/>
      <c r="AA119" s="9"/>
    </row>
    <row r="120" ht="14.25" customHeight="1">
      <c r="A120" s="6"/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9"/>
      <c r="AA120" s="9"/>
    </row>
    <row r="121" ht="14.25" customHeight="1">
      <c r="A121" s="6"/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"/>
      <c r="Z121" s="9"/>
      <c r="AA121" s="9"/>
    </row>
    <row r="122" ht="14.25" customHeight="1">
      <c r="A122" s="6"/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9"/>
      <c r="AA122" s="9"/>
    </row>
    <row r="123" ht="14.25" customHeight="1">
      <c r="A123" s="6"/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9"/>
      <c r="AA123" s="9"/>
    </row>
    <row r="124" ht="14.25" customHeight="1">
      <c r="A124" s="6"/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9"/>
      <c r="AA124" s="9"/>
    </row>
    <row r="125" ht="14.25" customHeight="1">
      <c r="A125" s="6"/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9"/>
      <c r="AA125" s="9"/>
    </row>
    <row r="126" ht="14.25" customHeight="1">
      <c r="A126" s="6"/>
      <c r="B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9"/>
      <c r="AA126" s="9"/>
    </row>
    <row r="127" ht="14.25" customHeight="1">
      <c r="A127" s="6"/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9"/>
      <c r="AA127" s="9"/>
    </row>
    <row r="128" ht="14.25" customHeight="1">
      <c r="A128" s="6"/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9"/>
      <c r="AA128" s="9"/>
    </row>
    <row r="129" ht="14.25" customHeight="1">
      <c r="A129" s="6"/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9"/>
      <c r="Z129" s="9"/>
      <c r="AA129" s="9"/>
    </row>
    <row r="130" ht="14.25" customHeight="1">
      <c r="A130" s="6"/>
      <c r="B130" s="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9"/>
      <c r="AA130" s="9"/>
    </row>
    <row r="131" ht="14.25" customHeight="1">
      <c r="A131" s="6"/>
      <c r="B131" s="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9"/>
      <c r="AA131" s="9"/>
    </row>
    <row r="132" ht="14.25" customHeight="1">
      <c r="A132" s="6"/>
      <c r="B132" s="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9"/>
      <c r="AA132" s="9"/>
    </row>
    <row r="133" ht="14.25" customHeight="1">
      <c r="A133" s="6"/>
      <c r="B133" s="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"/>
      <c r="Z133" s="9"/>
      <c r="AA133" s="9"/>
    </row>
    <row r="134" ht="14.25" customHeight="1">
      <c r="A134" s="6"/>
      <c r="B134" s="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9"/>
      <c r="AA134" s="9"/>
    </row>
    <row r="135" ht="14.25" customHeight="1">
      <c r="A135" s="6"/>
      <c r="B135" s="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9"/>
      <c r="Z135" s="9"/>
      <c r="AA135" s="9"/>
    </row>
    <row r="136" ht="14.25" customHeight="1">
      <c r="A136" s="6"/>
      <c r="B136" s="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9"/>
      <c r="AA136" s="9"/>
    </row>
    <row r="137" ht="14.25" customHeight="1">
      <c r="A137" s="6"/>
      <c r="B137" s="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9"/>
      <c r="AA137" s="9"/>
    </row>
    <row r="138" ht="14.25" customHeight="1">
      <c r="A138" s="6"/>
      <c r="B138" s="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9"/>
      <c r="AA138" s="9"/>
    </row>
    <row r="139" ht="14.25" customHeight="1">
      <c r="A139" s="6"/>
      <c r="B139" s="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9"/>
      <c r="AA139" s="9"/>
    </row>
    <row r="140" ht="14.25" customHeight="1">
      <c r="A140" s="6"/>
      <c r="B140" s="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9"/>
      <c r="AA140" s="9"/>
    </row>
    <row r="141" ht="14.25" customHeight="1">
      <c r="A141" s="6"/>
      <c r="B141" s="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9"/>
      <c r="AA141" s="9"/>
    </row>
    <row r="142" ht="14.25" customHeight="1">
      <c r="A142" s="6"/>
      <c r="B142" s="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9"/>
      <c r="AA142" s="9"/>
    </row>
    <row r="143" ht="14.25" customHeight="1">
      <c r="A143" s="6"/>
      <c r="B143" s="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  <c r="Z143" s="9"/>
      <c r="AA143" s="9"/>
    </row>
    <row r="144" ht="14.25" customHeight="1">
      <c r="A144" s="6"/>
      <c r="B144" s="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9"/>
      <c r="AA144" s="9"/>
    </row>
    <row r="145" ht="14.25" customHeight="1">
      <c r="A145" s="6"/>
      <c r="B145" s="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"/>
      <c r="Z145" s="9"/>
      <c r="AA145" s="9"/>
    </row>
    <row r="146" ht="14.25" customHeight="1">
      <c r="A146" s="6"/>
      <c r="B146" s="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9"/>
      <c r="AA146" s="9"/>
    </row>
    <row r="147" ht="14.25" customHeight="1">
      <c r="A147" s="6"/>
      <c r="B147" s="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9"/>
      <c r="AA147" s="9"/>
    </row>
    <row r="148" ht="14.25" customHeight="1">
      <c r="A148" s="6"/>
      <c r="B148" s="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9"/>
      <c r="AA148" s="9"/>
    </row>
    <row r="149" ht="14.25" customHeight="1">
      <c r="A149" s="6"/>
      <c r="B149" s="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"/>
      <c r="Z149" s="9"/>
      <c r="AA149" s="9"/>
    </row>
    <row r="150" ht="14.25" customHeight="1">
      <c r="A150" s="6"/>
      <c r="B150" s="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"/>
      <c r="Z150" s="9"/>
      <c r="AA150" s="9"/>
    </row>
    <row r="151" ht="14.25" customHeight="1">
      <c r="A151" s="6"/>
      <c r="B151" s="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9"/>
      <c r="AA151" s="9"/>
    </row>
    <row r="152" ht="14.25" customHeight="1">
      <c r="A152" s="6"/>
      <c r="B152" s="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9"/>
      <c r="AA152" s="9"/>
    </row>
    <row r="153" ht="14.25" customHeight="1">
      <c r="A153" s="6"/>
      <c r="B153" s="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9"/>
      <c r="AA153" s="9"/>
    </row>
    <row r="154" ht="14.25" customHeight="1">
      <c r="A154" s="6"/>
      <c r="B154" s="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9"/>
      <c r="AA154" s="9"/>
    </row>
    <row r="155" ht="14.25" customHeight="1">
      <c r="A155" s="6"/>
      <c r="B155" s="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9"/>
      <c r="AA155" s="9"/>
    </row>
    <row r="156" ht="14.25" customHeight="1">
      <c r="A156" s="6"/>
      <c r="B156" s="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9"/>
      <c r="AA156" s="9"/>
    </row>
    <row r="157" ht="14.25" customHeight="1">
      <c r="A157" s="6"/>
      <c r="B157" s="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"/>
      <c r="Z157" s="9"/>
      <c r="AA157" s="9"/>
    </row>
    <row r="158" ht="14.25" customHeight="1">
      <c r="A158" s="6"/>
      <c r="B158" s="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9"/>
      <c r="AA158" s="9"/>
    </row>
    <row r="159" ht="14.25" customHeight="1">
      <c r="A159" s="6"/>
      <c r="B159" s="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9"/>
      <c r="AA159" s="9"/>
    </row>
    <row r="160" ht="14.25" customHeight="1">
      <c r="A160" s="6"/>
      <c r="B160" s="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9"/>
      <c r="AA160" s="9"/>
    </row>
    <row r="161" ht="14.25" customHeight="1">
      <c r="A161" s="6"/>
      <c r="B161" s="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9"/>
      <c r="AA161" s="9"/>
    </row>
    <row r="162" ht="14.25" customHeight="1">
      <c r="A162" s="6"/>
      <c r="B162" s="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9"/>
      <c r="AA162" s="9"/>
    </row>
    <row r="163" ht="14.25" customHeight="1">
      <c r="A163" s="6"/>
      <c r="B163" s="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"/>
      <c r="Z163" s="9"/>
      <c r="AA163" s="9"/>
    </row>
    <row r="164" ht="14.25" customHeight="1">
      <c r="A164" s="6"/>
      <c r="B164" s="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"/>
      <c r="Z164" s="9"/>
      <c r="AA164" s="9"/>
    </row>
    <row r="165" ht="14.25" customHeight="1">
      <c r="A165" s="6"/>
      <c r="B165" s="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9"/>
      <c r="AA165" s="9"/>
    </row>
    <row r="166" ht="14.25" customHeight="1">
      <c r="A166" s="6"/>
      <c r="B166" s="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9"/>
      <c r="AA166" s="9"/>
    </row>
    <row r="167" ht="14.25" customHeight="1">
      <c r="A167" s="6"/>
      <c r="B167" s="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9"/>
      <c r="AA167" s="9"/>
    </row>
    <row r="168" ht="14.25" customHeight="1">
      <c r="A168" s="6"/>
      <c r="B168" s="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9"/>
      <c r="AA168" s="9"/>
    </row>
    <row r="169" ht="14.25" customHeight="1">
      <c r="A169" s="6"/>
      <c r="B169" s="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9"/>
      <c r="AA169" s="9"/>
    </row>
    <row r="170" ht="14.25" customHeight="1">
      <c r="A170" s="6"/>
      <c r="B170" s="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"/>
      <c r="Z170" s="9"/>
      <c r="AA170" s="9"/>
    </row>
    <row r="171" ht="14.25" customHeight="1">
      <c r="A171" s="6"/>
      <c r="B171" s="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"/>
      <c r="Z171" s="9"/>
      <c r="AA171" s="9"/>
    </row>
    <row r="172" ht="14.25" customHeight="1">
      <c r="A172" s="6"/>
      <c r="B172" s="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9"/>
      <c r="AA172" s="9"/>
    </row>
    <row r="173" ht="14.25" customHeight="1">
      <c r="A173" s="6"/>
      <c r="B173" s="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"/>
      <c r="Z173" s="9"/>
      <c r="AA173" s="9"/>
    </row>
    <row r="174" ht="14.25" customHeight="1">
      <c r="A174" s="6"/>
      <c r="B174" s="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9"/>
      <c r="AA174" s="9"/>
    </row>
    <row r="175" ht="14.25" customHeight="1">
      <c r="A175" s="6"/>
      <c r="B175" s="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9"/>
      <c r="AA175" s="9"/>
    </row>
    <row r="176" ht="14.25" customHeight="1">
      <c r="A176" s="6"/>
      <c r="B176" s="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9"/>
      <c r="AA176" s="9"/>
    </row>
    <row r="177" ht="14.25" customHeight="1">
      <c r="A177" s="6"/>
      <c r="B177" s="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"/>
      <c r="Z177" s="9"/>
      <c r="AA177" s="9"/>
    </row>
    <row r="178" ht="14.25" customHeight="1">
      <c r="A178" s="6"/>
      <c r="B178" s="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"/>
      <c r="Z178" s="9"/>
      <c r="AA178" s="9"/>
    </row>
    <row r="179" ht="14.25" customHeight="1">
      <c r="A179" s="6"/>
      <c r="B179" s="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9"/>
      <c r="AA179" s="9"/>
    </row>
    <row r="180" ht="14.25" customHeight="1">
      <c r="A180" s="6"/>
      <c r="B180" s="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9"/>
      <c r="AA180" s="9"/>
    </row>
    <row r="181" ht="14.25" customHeight="1">
      <c r="A181" s="6"/>
      <c r="B181" s="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9"/>
      <c r="AA181" s="9"/>
    </row>
    <row r="182" ht="14.25" customHeight="1">
      <c r="A182" s="6"/>
      <c r="B182" s="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9"/>
      <c r="AA182" s="9"/>
    </row>
    <row r="183" ht="14.25" customHeight="1">
      <c r="A183" s="6"/>
      <c r="B183" s="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9"/>
      <c r="AA183" s="9"/>
    </row>
    <row r="184" ht="14.25" customHeight="1">
      <c r="A184" s="6"/>
      <c r="B184" s="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9"/>
      <c r="AA184" s="9"/>
    </row>
    <row r="185" ht="14.25" customHeight="1">
      <c r="A185" s="6"/>
      <c r="B185" s="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9"/>
      <c r="AA185" s="9"/>
    </row>
    <row r="186" ht="14.25" customHeight="1">
      <c r="A186" s="6"/>
      <c r="B186" s="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9"/>
      <c r="AA186" s="9"/>
    </row>
    <row r="187" ht="14.25" customHeight="1">
      <c r="A187" s="6"/>
      <c r="B187" s="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9"/>
      <c r="AA187" s="9"/>
    </row>
    <row r="188" ht="14.25" customHeight="1">
      <c r="A188" s="6"/>
      <c r="B188" s="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9"/>
      <c r="AA188" s="9"/>
    </row>
    <row r="189" ht="14.25" customHeight="1">
      <c r="A189" s="6"/>
      <c r="B189" s="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9"/>
      <c r="AA189" s="9"/>
    </row>
    <row r="190" ht="14.25" customHeight="1">
      <c r="A190" s="6"/>
      <c r="B190" s="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9"/>
      <c r="AA190" s="9"/>
    </row>
    <row r="191" ht="14.25" customHeight="1">
      <c r="A191" s="6"/>
      <c r="B191" s="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9"/>
      <c r="AA191" s="9"/>
    </row>
    <row r="192" ht="14.25" customHeight="1">
      <c r="A192" s="6"/>
      <c r="B192" s="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9"/>
      <c r="AA192" s="9"/>
    </row>
    <row r="193" ht="14.25" customHeight="1">
      <c r="A193" s="6"/>
      <c r="B193" s="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9"/>
      <c r="AA193" s="9"/>
    </row>
    <row r="194" ht="14.25" customHeight="1">
      <c r="A194" s="6"/>
      <c r="B194" s="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9"/>
      <c r="AA194" s="9"/>
    </row>
    <row r="195" ht="14.25" customHeight="1">
      <c r="A195" s="6"/>
      <c r="B195" s="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9"/>
      <c r="AA195" s="9"/>
    </row>
    <row r="196" ht="14.25" customHeight="1">
      <c r="A196" s="6"/>
      <c r="B196" s="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9"/>
      <c r="AA196" s="9"/>
    </row>
    <row r="197" ht="14.25" customHeight="1">
      <c r="A197" s="6"/>
      <c r="B197" s="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9"/>
      <c r="AA197" s="9"/>
    </row>
    <row r="198" ht="14.25" customHeight="1">
      <c r="A198" s="6"/>
      <c r="B198" s="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9"/>
      <c r="AA198" s="9"/>
    </row>
    <row r="199" ht="14.25" customHeight="1">
      <c r="A199" s="6"/>
      <c r="B199" s="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9"/>
      <c r="AA199" s="9"/>
    </row>
    <row r="200" ht="14.25" customHeight="1">
      <c r="A200" s="6"/>
      <c r="B200" s="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9"/>
      <c r="AA200" s="9"/>
    </row>
    <row r="201" ht="14.25" customHeight="1">
      <c r="A201" s="6"/>
      <c r="B201" s="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9"/>
      <c r="AA201" s="9"/>
    </row>
    <row r="202" ht="14.25" customHeight="1">
      <c r="A202" s="6"/>
      <c r="B202" s="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9"/>
      <c r="AA202" s="9"/>
    </row>
    <row r="203" ht="14.25" customHeight="1">
      <c r="A203" s="6"/>
      <c r="B203" s="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9"/>
      <c r="AA203" s="9"/>
    </row>
    <row r="204" ht="14.25" customHeight="1">
      <c r="A204" s="6"/>
      <c r="B204" s="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9"/>
      <c r="AA204" s="9"/>
    </row>
    <row r="205" ht="14.25" customHeight="1">
      <c r="A205" s="6"/>
      <c r="B205" s="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"/>
      <c r="Z205" s="9"/>
      <c r="AA205" s="9"/>
    </row>
    <row r="206" ht="14.25" customHeight="1">
      <c r="A206" s="6"/>
      <c r="B206" s="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9"/>
      <c r="AA206" s="9"/>
    </row>
    <row r="207" ht="14.25" customHeight="1">
      <c r="A207" s="6"/>
      <c r="B207" s="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9"/>
      <c r="AA207" s="9"/>
    </row>
    <row r="208" ht="14.25" customHeight="1">
      <c r="A208" s="6"/>
      <c r="B208" s="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9"/>
      <c r="AA208" s="9"/>
    </row>
    <row r="209" ht="14.25" customHeight="1">
      <c r="A209" s="6"/>
      <c r="B209" s="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9"/>
      <c r="AA209" s="9"/>
    </row>
    <row r="210" ht="14.25" customHeight="1">
      <c r="A210" s="6"/>
      <c r="B210" s="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9"/>
      <c r="AA210" s="9"/>
    </row>
    <row r="211" ht="14.25" customHeight="1">
      <c r="A211" s="6"/>
      <c r="B211" s="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9"/>
      <c r="AA211" s="9"/>
    </row>
    <row r="212" ht="14.25" customHeight="1">
      <c r="A212" s="6"/>
      <c r="B212" s="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9"/>
      <c r="AA212" s="9"/>
    </row>
    <row r="213" ht="14.25" customHeight="1">
      <c r="A213" s="6"/>
      <c r="B213" s="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9"/>
      <c r="Z213" s="9"/>
      <c r="AA213" s="9"/>
    </row>
    <row r="214" ht="14.25" customHeight="1">
      <c r="A214" s="6"/>
      <c r="B214" s="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9"/>
      <c r="AA214" s="9"/>
    </row>
    <row r="215" ht="14.25" customHeight="1">
      <c r="A215" s="6"/>
      <c r="B215" s="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9"/>
      <c r="AA215" s="9"/>
    </row>
    <row r="216" ht="14.25" customHeight="1">
      <c r="A216" s="6"/>
      <c r="B216" s="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9"/>
      <c r="AA216" s="9"/>
    </row>
    <row r="217" ht="14.25" customHeight="1">
      <c r="A217" s="6"/>
      <c r="B217" s="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9"/>
      <c r="AA217" s="9"/>
    </row>
    <row r="218" ht="14.25" customHeight="1">
      <c r="A218" s="6"/>
      <c r="B218" s="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9"/>
      <c r="AA218" s="9"/>
    </row>
    <row r="219" ht="14.25" customHeight="1">
      <c r="A219" s="6"/>
      <c r="B219" s="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9"/>
      <c r="AA219" s="9"/>
    </row>
    <row r="220" ht="14.25" customHeight="1">
      <c r="A220" s="6"/>
      <c r="B220" s="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9"/>
      <c r="AA220" s="9"/>
    </row>
    <row r="221" ht="14.25" customHeight="1">
      <c r="A221" s="6"/>
      <c r="B221" s="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9"/>
      <c r="AA221" s="9"/>
    </row>
    <row r="222" ht="14.25" customHeight="1">
      <c r="A222" s="6"/>
      <c r="B222" s="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9"/>
      <c r="AA222" s="9"/>
    </row>
    <row r="223" ht="14.25" customHeight="1">
      <c r="A223" s="6"/>
      <c r="B223" s="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9"/>
      <c r="AA223" s="9"/>
    </row>
    <row r="224" ht="14.25" customHeight="1">
      <c r="A224" s="6"/>
      <c r="B224" s="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9"/>
      <c r="AA224" s="9"/>
    </row>
    <row r="225" ht="14.25" customHeight="1">
      <c r="A225" s="6"/>
      <c r="B225" s="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9"/>
      <c r="AA225" s="9"/>
    </row>
    <row r="226" ht="14.25" customHeight="1">
      <c r="A226" s="6"/>
      <c r="B226" s="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9"/>
      <c r="AA226" s="9"/>
    </row>
    <row r="227" ht="14.25" customHeight="1">
      <c r="A227" s="6"/>
      <c r="B227" s="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9"/>
      <c r="AA227" s="9"/>
    </row>
    <row r="228" ht="14.25" customHeight="1">
      <c r="A228" s="6"/>
      <c r="B228" s="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9"/>
      <c r="AA228" s="9"/>
    </row>
    <row r="229" ht="14.25" customHeight="1">
      <c r="A229" s="6"/>
      <c r="B229" s="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9"/>
      <c r="AA229" s="9"/>
    </row>
    <row r="230" ht="14.25" customHeight="1">
      <c r="A230" s="6"/>
      <c r="B230" s="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9"/>
      <c r="AA230" s="9"/>
    </row>
    <row r="231" ht="14.25" customHeight="1">
      <c r="A231" s="6"/>
      <c r="B231" s="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9"/>
      <c r="AA231" s="9"/>
    </row>
    <row r="232" ht="14.25" customHeight="1">
      <c r="A232" s="6"/>
      <c r="B232" s="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9"/>
      <c r="AA232" s="9"/>
    </row>
    <row r="233" ht="14.25" customHeight="1">
      <c r="A233" s="6"/>
      <c r="B233" s="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9"/>
      <c r="AA233" s="9"/>
    </row>
    <row r="234" ht="14.25" customHeight="1">
      <c r="A234" s="6"/>
      <c r="B234" s="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9"/>
      <c r="AA234" s="9"/>
    </row>
    <row r="235" ht="14.25" customHeight="1">
      <c r="A235" s="6"/>
      <c r="B235" s="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9"/>
      <c r="AA235" s="9"/>
    </row>
    <row r="236" ht="14.25" customHeight="1">
      <c r="A236" s="6"/>
      <c r="B236" s="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9"/>
      <c r="AA236" s="9"/>
    </row>
    <row r="237" ht="14.25" customHeight="1">
      <c r="A237" s="6"/>
      <c r="B237" s="6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9"/>
      <c r="Z237" s="9"/>
      <c r="AA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48:A49"/>
    <mergeCell ref="B48:B49"/>
    <mergeCell ref="C48:C49"/>
    <mergeCell ref="A1:C1"/>
    <mergeCell ref="A44:A45"/>
    <mergeCell ref="B44:B45"/>
    <mergeCell ref="C44:C45"/>
    <mergeCell ref="A46:A47"/>
    <mergeCell ref="B46:B47"/>
    <mergeCell ref="C46:C47"/>
  </mergeCells>
  <dataValidations>
    <dataValidation type="list" allowBlank="1" showErrorMessage="1" sqref="C5:C6 E5:E6 G5:G6 I5:I6 K5:K6 C9 E9 G9 I9 K9 C12:C14 E12:E14 G12:G14 I12:I14 K12:K14 C17:C18 E17:E18 G17:G18 I17:I18 K17:K18 C23:C27 E23:E27 G23:G27 I23:I27 K23:K27 C36 E36 G36 I36 K36">
      <formula1>"0,1,2,3,4,5,6,7,8,9,10"</formula1>
    </dataValidation>
  </dataValidations>
  <printOptions/>
  <pageMargins bottom="0.75" footer="0.0" header="0.0" left="0.520833333333333" right="0.25" top="0.427083333333333"/>
  <pageSetup paperSize="14" orientation="landscape"/>
  <rowBreaks count="1" manualBreakCount="1">
    <brk id="21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65.29"/>
    <col customWidth="1" min="2" max="2" width="71.86"/>
    <col customWidth="1" min="3" max="3" width="37.0"/>
    <col customWidth="1" min="4" max="4" width="42.0"/>
    <col customWidth="1" min="5" max="5" width="34.57"/>
    <col customWidth="1" min="6" max="6" width="47.57"/>
    <col customWidth="1" min="7" max="7" width="34.57"/>
    <col customWidth="1" min="8" max="8" width="47.57"/>
    <col customWidth="1" min="9" max="9" width="34.57"/>
    <col customWidth="1" min="10" max="10" width="47.57"/>
    <col customWidth="1" min="11" max="11" width="37.14"/>
    <col customWidth="1" min="12" max="12" width="37.86"/>
    <col customWidth="1" min="13" max="15" width="7.86"/>
    <col customWidth="1" min="16" max="24" width="8.71"/>
  </cols>
  <sheetData>
    <row r="1" ht="63.75" customHeight="1">
      <c r="A1" s="1" t="s">
        <v>0</v>
      </c>
      <c r="C1" s="1"/>
      <c r="D1" s="1"/>
      <c r="E1" s="2" t="s">
        <v>1</v>
      </c>
      <c r="F1" s="1" t="s">
        <v>4</v>
      </c>
      <c r="G1" s="2"/>
      <c r="H1" s="1"/>
      <c r="I1" s="2" t="s">
        <v>3</v>
      </c>
      <c r="J1" s="3" t="str">
        <f>CHAIR!#REF!</f>
        <v>#ERROR!</v>
      </c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</row>
    <row r="2" ht="9.0" customHeight="1"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9"/>
      <c r="AA2" s="9"/>
    </row>
    <row r="3" ht="40.5" customHeight="1">
      <c r="A3" s="10" t="s">
        <v>5</v>
      </c>
      <c r="B3" s="11"/>
      <c r="C3" s="14"/>
      <c r="D3" s="13"/>
      <c r="E3" s="14"/>
      <c r="F3" s="13"/>
      <c r="G3" s="14"/>
      <c r="H3" s="13"/>
      <c r="I3" s="14"/>
      <c r="J3" s="13"/>
      <c r="K3" s="14"/>
      <c r="L3" s="13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3"/>
      <c r="Z3" s="23"/>
      <c r="AA3" s="23"/>
    </row>
    <row r="4" ht="44.25" customHeight="1">
      <c r="A4" s="15" t="s">
        <v>6</v>
      </c>
      <c r="B4" s="24" t="s">
        <v>7</v>
      </c>
      <c r="C4" s="27" t="str">
        <f>CHAIR!C4</f>
        <v>Jhonrey A. Cañete</v>
      </c>
      <c r="D4" s="28" t="s">
        <v>9</v>
      </c>
      <c r="E4" s="31" t="str">
        <f>CHAIR!E4</f>
        <v/>
      </c>
      <c r="F4" s="21" t="s">
        <v>9</v>
      </c>
      <c r="G4" s="33" t="str">
        <f>CHAIR!G4</f>
        <v>-</v>
      </c>
      <c r="H4" s="21" t="s">
        <v>9</v>
      </c>
      <c r="I4" s="33" t="str">
        <f>CHAIR!#REF!</f>
        <v>#ERROR!</v>
      </c>
      <c r="J4" s="21" t="s">
        <v>9</v>
      </c>
      <c r="K4" s="33" t="str">
        <f>CHAIR!#REF!</f>
        <v>#ERROR!</v>
      </c>
      <c r="L4" s="21" t="s">
        <v>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9"/>
      <c r="AA4" s="9"/>
    </row>
    <row r="5" ht="89.25" customHeight="1">
      <c r="A5" s="25" t="s">
        <v>11</v>
      </c>
      <c r="B5" s="26" t="s">
        <v>12</v>
      </c>
      <c r="C5" s="37">
        <v>3.0</v>
      </c>
      <c r="D5" s="26"/>
      <c r="E5" s="32"/>
      <c r="F5" s="26"/>
      <c r="G5" s="32"/>
      <c r="H5" s="26"/>
      <c r="I5" s="32"/>
      <c r="J5" s="26"/>
      <c r="K5" s="32"/>
      <c r="L5" s="26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9"/>
      <c r="AA5" s="9"/>
    </row>
    <row r="6" ht="89.25" customHeight="1">
      <c r="A6" s="25" t="s">
        <v>13</v>
      </c>
      <c r="B6" s="26" t="s">
        <v>14</v>
      </c>
      <c r="C6" s="37">
        <v>3.0</v>
      </c>
      <c r="D6" s="26"/>
      <c r="E6" s="32"/>
      <c r="F6" s="26"/>
      <c r="G6" s="32"/>
      <c r="H6" s="26"/>
      <c r="I6" s="32"/>
      <c r="J6" s="26"/>
      <c r="K6" s="32"/>
      <c r="L6" s="2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</row>
    <row r="7" ht="43.5" customHeight="1">
      <c r="A7" s="41" t="s">
        <v>17</v>
      </c>
      <c r="B7" s="42"/>
      <c r="C7" s="39">
        <f>SUM(C5:C6)</f>
        <v>6</v>
      </c>
      <c r="D7" s="39"/>
      <c r="E7" s="39">
        <f>SUM(E5:E6)</f>
        <v>0</v>
      </c>
      <c r="F7" s="39"/>
      <c r="G7" s="39">
        <f>SUM(G5:G6)</f>
        <v>0</v>
      </c>
      <c r="H7" s="39"/>
      <c r="I7" s="39">
        <f>SUM(I5:I6)</f>
        <v>0</v>
      </c>
      <c r="J7" s="39"/>
      <c r="K7" s="39">
        <f>SUM(K5:K6)</f>
        <v>0</v>
      </c>
      <c r="L7" s="39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9"/>
      <c r="Y7" s="9"/>
      <c r="Z7" s="9"/>
      <c r="AA7" s="9"/>
    </row>
    <row r="8" ht="43.5" customHeight="1">
      <c r="A8" s="15" t="s">
        <v>16</v>
      </c>
      <c r="B8" s="24" t="s">
        <v>7</v>
      </c>
      <c r="C8" s="21" t="str">
        <f>C4</f>
        <v>Jhonrey A. Cañete</v>
      </c>
      <c r="D8" s="21" t="s">
        <v>9</v>
      </c>
      <c r="E8" s="21" t="str">
        <f>E4</f>
        <v/>
      </c>
      <c r="F8" s="21" t="s">
        <v>9</v>
      </c>
      <c r="G8" s="21" t="str">
        <f>G4</f>
        <v>-</v>
      </c>
      <c r="H8" s="21" t="s">
        <v>9</v>
      </c>
      <c r="I8" s="21" t="str">
        <f>I4</f>
        <v>#ERROR!</v>
      </c>
      <c r="J8" s="21" t="s">
        <v>9</v>
      </c>
      <c r="K8" s="33" t="str">
        <f>K4</f>
        <v>#ERROR!</v>
      </c>
      <c r="L8" s="21" t="s">
        <v>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9"/>
      <c r="AA8" s="9"/>
    </row>
    <row r="9" ht="93.75" customHeight="1">
      <c r="A9" s="26" t="s">
        <v>27</v>
      </c>
      <c r="B9" s="26" t="s">
        <v>19</v>
      </c>
      <c r="C9" s="37">
        <v>3.0</v>
      </c>
      <c r="D9" s="26"/>
      <c r="E9" s="32"/>
      <c r="F9" s="26"/>
      <c r="G9" s="32"/>
      <c r="H9" s="26"/>
      <c r="I9" s="32"/>
      <c r="J9" s="26"/>
      <c r="K9" s="32"/>
      <c r="L9" s="26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9"/>
      <c r="AA9" s="9"/>
    </row>
    <row r="10" ht="43.5" customHeight="1">
      <c r="A10" s="41" t="s">
        <v>17</v>
      </c>
      <c r="B10" s="42"/>
      <c r="C10" s="39">
        <f>SUM(C9)</f>
        <v>3</v>
      </c>
      <c r="D10" s="39"/>
      <c r="E10" s="39">
        <f>SUM(E9)</f>
        <v>0</v>
      </c>
      <c r="F10" s="39"/>
      <c r="G10" s="39">
        <f>SUM(G9)</f>
        <v>0</v>
      </c>
      <c r="H10" s="39"/>
      <c r="I10" s="39">
        <f>SUM(I9)</f>
        <v>0</v>
      </c>
      <c r="J10" s="39"/>
      <c r="K10" s="39">
        <f>SUM(K9)</f>
        <v>0</v>
      </c>
      <c r="L10" s="39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9"/>
      <c r="Y10" s="9"/>
      <c r="Z10" s="9"/>
      <c r="AA10" s="9"/>
    </row>
    <row r="11" ht="44.25" customHeight="1">
      <c r="A11" s="43" t="s">
        <v>20</v>
      </c>
      <c r="B11" s="24" t="s">
        <v>7</v>
      </c>
      <c r="C11" s="21" t="str">
        <f>C4</f>
        <v>Jhonrey A. Cañete</v>
      </c>
      <c r="D11" s="21" t="s">
        <v>9</v>
      </c>
      <c r="E11" s="21" t="str">
        <f>E4</f>
        <v/>
      </c>
      <c r="F11" s="21" t="s">
        <v>9</v>
      </c>
      <c r="G11" s="21" t="str">
        <f>G4</f>
        <v>-</v>
      </c>
      <c r="H11" s="21" t="s">
        <v>9</v>
      </c>
      <c r="I11" s="21" t="str">
        <f>I4</f>
        <v>#ERROR!</v>
      </c>
      <c r="J11" s="21" t="s">
        <v>9</v>
      </c>
      <c r="K11" s="33" t="str">
        <f>K4</f>
        <v>#ERROR!</v>
      </c>
      <c r="L11" s="21" t="s">
        <v>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9"/>
      <c r="AA11" s="9"/>
    </row>
    <row r="12" ht="81.0" customHeight="1">
      <c r="A12" s="44" t="s">
        <v>36</v>
      </c>
      <c r="B12" s="44" t="s">
        <v>22</v>
      </c>
      <c r="C12" s="53">
        <v>3.0</v>
      </c>
      <c r="D12" s="46"/>
      <c r="E12" s="47"/>
      <c r="F12" s="46"/>
      <c r="G12" s="47"/>
      <c r="H12" s="46"/>
      <c r="I12" s="47"/>
      <c r="J12" s="46"/>
      <c r="K12" s="47"/>
      <c r="L12" s="46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9"/>
      <c r="AA12" s="9"/>
    </row>
    <row r="13" ht="81.0" customHeight="1">
      <c r="A13" s="44" t="s">
        <v>39</v>
      </c>
      <c r="B13" s="44" t="s">
        <v>24</v>
      </c>
      <c r="C13" s="53">
        <v>3.0</v>
      </c>
      <c r="D13" s="46"/>
      <c r="E13" s="47"/>
      <c r="F13" s="46"/>
      <c r="G13" s="47"/>
      <c r="H13" s="46"/>
      <c r="I13" s="47"/>
      <c r="J13" s="46"/>
      <c r="K13" s="47"/>
      <c r="L13" s="46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9"/>
      <c r="AA13" s="9"/>
    </row>
    <row r="14" ht="81.0" customHeight="1">
      <c r="A14" s="26" t="s">
        <v>42</v>
      </c>
      <c r="B14" s="26" t="s">
        <v>26</v>
      </c>
      <c r="C14" s="37">
        <v>4.0</v>
      </c>
      <c r="D14" s="26"/>
      <c r="E14" s="32"/>
      <c r="F14" s="26"/>
      <c r="G14" s="32"/>
      <c r="H14" s="26"/>
      <c r="I14" s="32"/>
      <c r="J14" s="26"/>
      <c r="K14" s="32"/>
      <c r="L14" s="26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9"/>
      <c r="AA14" s="9"/>
    </row>
    <row r="15" ht="43.5" customHeight="1">
      <c r="A15" s="41" t="s">
        <v>17</v>
      </c>
      <c r="B15" s="42"/>
      <c r="C15" s="39">
        <f>SUM(C12:C14)</f>
        <v>10</v>
      </c>
      <c r="D15" s="39"/>
      <c r="E15" s="39">
        <f>SUM(E12:E14)</f>
        <v>0</v>
      </c>
      <c r="F15" s="39"/>
      <c r="G15" s="39">
        <f>SUM(G12:G14)</f>
        <v>0</v>
      </c>
      <c r="H15" s="39"/>
      <c r="I15" s="39">
        <f>SUM(I12:I14)</f>
        <v>0</v>
      </c>
      <c r="J15" s="39"/>
      <c r="K15" s="39"/>
      <c r="L15" s="39"/>
      <c r="M15" s="8"/>
      <c r="N15" s="8"/>
      <c r="O15" s="8"/>
      <c r="P15" s="8"/>
      <c r="Q15" s="8"/>
      <c r="R15" s="8"/>
      <c r="S15" s="8"/>
      <c r="T15" s="8"/>
      <c r="U15" s="8"/>
      <c r="V15" s="8"/>
      <c r="W15" s="9"/>
      <c r="X15" s="9"/>
      <c r="Y15" s="9"/>
      <c r="Z15" s="9"/>
      <c r="AA15" s="9"/>
    </row>
    <row r="16" ht="43.5" customHeight="1">
      <c r="A16" s="43" t="s">
        <v>28</v>
      </c>
      <c r="B16" s="24" t="s">
        <v>7</v>
      </c>
      <c r="C16" s="21" t="str">
        <f>C4</f>
        <v>Jhonrey A. Cañete</v>
      </c>
      <c r="D16" s="21" t="s">
        <v>9</v>
      </c>
      <c r="E16" s="21" t="str">
        <f>E4</f>
        <v/>
      </c>
      <c r="F16" s="21" t="s">
        <v>9</v>
      </c>
      <c r="G16" s="21" t="str">
        <f>G4</f>
        <v>-</v>
      </c>
      <c r="H16" s="21" t="s">
        <v>9</v>
      </c>
      <c r="I16" s="21" t="str">
        <f>I4</f>
        <v>#ERROR!</v>
      </c>
      <c r="J16" s="21" t="s">
        <v>9</v>
      </c>
      <c r="K16" s="21" t="str">
        <f>K4</f>
        <v>#ERROR!</v>
      </c>
      <c r="L16" s="21" t="s">
        <v>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9"/>
      <c r="AA16" s="9"/>
    </row>
    <row r="17" ht="55.5" customHeight="1">
      <c r="A17" s="25" t="s">
        <v>30</v>
      </c>
      <c r="B17" s="26" t="s">
        <v>56</v>
      </c>
      <c r="C17" s="37">
        <v>3.0</v>
      </c>
      <c r="D17" s="26"/>
      <c r="E17" s="32"/>
      <c r="F17" s="26"/>
      <c r="G17" s="32"/>
      <c r="H17" s="26"/>
      <c r="I17" s="32"/>
      <c r="J17" s="26"/>
      <c r="K17" s="32"/>
      <c r="L17" s="26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9"/>
      <c r="AA17" s="9"/>
    </row>
    <row r="18" ht="49.5" customHeight="1">
      <c r="A18" s="46" t="s">
        <v>58</v>
      </c>
      <c r="B18" s="46" t="s">
        <v>59</v>
      </c>
      <c r="C18" s="47"/>
      <c r="D18" s="46"/>
      <c r="E18" s="47"/>
      <c r="F18" s="46"/>
      <c r="G18" s="47"/>
      <c r="H18" s="46"/>
      <c r="I18" s="47"/>
      <c r="J18" s="46"/>
      <c r="K18" s="47"/>
      <c r="L18" s="46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9"/>
      <c r="Z18" s="9"/>
      <c r="AA18" s="9"/>
    </row>
    <row r="19" ht="43.5" customHeight="1">
      <c r="A19" s="73" t="s">
        <v>17</v>
      </c>
      <c r="B19" s="76"/>
      <c r="C19" s="78">
        <f>SUM(C17:C18)</f>
        <v>3</v>
      </c>
      <c r="D19" s="78"/>
      <c r="E19" s="78">
        <f>SUM(E17:E18)</f>
        <v>0</v>
      </c>
      <c r="F19" s="78"/>
      <c r="G19" s="78">
        <f>SUM(G17:G18)</f>
        <v>0</v>
      </c>
      <c r="H19" s="78"/>
      <c r="I19" s="78">
        <f>SUM(I17:I18)</f>
        <v>0</v>
      </c>
      <c r="J19" s="78"/>
      <c r="K19" s="78">
        <f>SUM(K17:K18)</f>
        <v>0</v>
      </c>
      <c r="L19" s="7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9"/>
      <c r="Y19" s="9"/>
      <c r="Z19" s="9"/>
      <c r="AA19" s="9"/>
    </row>
    <row r="20" ht="37.5" customHeight="1">
      <c r="A20" s="83" t="s">
        <v>34</v>
      </c>
      <c r="B20" s="76"/>
      <c r="C20" s="85">
        <f>SUM(C7,C10,C15,C19)</f>
        <v>22</v>
      </c>
      <c r="D20" s="86"/>
      <c r="E20" s="85">
        <f>SUM(E7,E10,E15,E19)</f>
        <v>0</v>
      </c>
      <c r="F20" s="86"/>
      <c r="G20" s="85">
        <f>SUM(G7,G10,G15,G19)</f>
        <v>0</v>
      </c>
      <c r="H20" s="86"/>
      <c r="I20" s="85">
        <f>SUM(I7,I10,I15,I19)</f>
        <v>0</v>
      </c>
      <c r="J20" s="86"/>
      <c r="K20" s="85">
        <f>SUM(K7,K10,K15,K19)</f>
        <v>0</v>
      </c>
      <c r="L20" s="86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9"/>
      <c r="AA20" s="9"/>
    </row>
    <row r="21" ht="37.5" customHeight="1">
      <c r="A21" s="92" t="s">
        <v>38</v>
      </c>
      <c r="B21" s="93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9"/>
      <c r="AA21" s="9"/>
    </row>
    <row r="22" ht="44.25" customHeight="1">
      <c r="A22" s="58"/>
      <c r="B22" s="24" t="s">
        <v>40</v>
      </c>
      <c r="C22" s="21" t="str">
        <f>C8</f>
        <v>Jhonrey A. Cañete</v>
      </c>
      <c r="D22" s="21" t="s">
        <v>9</v>
      </c>
      <c r="E22" s="21" t="str">
        <f>E11</f>
        <v/>
      </c>
      <c r="F22" s="21" t="s">
        <v>9</v>
      </c>
      <c r="G22" s="21" t="str">
        <f>G11</f>
        <v>-</v>
      </c>
      <c r="H22" s="21" t="s">
        <v>9</v>
      </c>
      <c r="I22" s="21" t="str">
        <f>I11</f>
        <v>#ERROR!</v>
      </c>
      <c r="J22" s="21" t="s">
        <v>9</v>
      </c>
      <c r="K22" s="21" t="str">
        <f>K16</f>
        <v>#ERROR!</v>
      </c>
      <c r="L22" s="21" t="s">
        <v>9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9"/>
      <c r="AA22" s="9"/>
    </row>
    <row r="23" ht="48.75" customHeight="1">
      <c r="A23" s="59" t="s">
        <v>76</v>
      </c>
      <c r="B23" s="44" t="s">
        <v>44</v>
      </c>
      <c r="C23" s="53">
        <v>4.0</v>
      </c>
      <c r="D23" s="46"/>
      <c r="E23" s="47"/>
      <c r="F23" s="46"/>
      <c r="G23" s="47"/>
      <c r="H23" s="46"/>
      <c r="I23" s="47"/>
      <c r="J23" s="46"/>
      <c r="K23" s="47"/>
      <c r="L23" s="4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9"/>
      <c r="AA23" s="9"/>
    </row>
    <row r="24" ht="48.75" customHeight="1">
      <c r="A24" s="59" t="s">
        <v>77</v>
      </c>
      <c r="B24" s="44" t="s">
        <v>46</v>
      </c>
      <c r="C24" s="53">
        <v>4.0</v>
      </c>
      <c r="D24" s="46"/>
      <c r="E24" s="47"/>
      <c r="F24" s="46"/>
      <c r="G24" s="47"/>
      <c r="H24" s="46"/>
      <c r="I24" s="47"/>
      <c r="J24" s="46"/>
      <c r="K24" s="47"/>
      <c r="L24" s="46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9"/>
      <c r="AA24" s="9"/>
    </row>
    <row r="25" ht="48.75" customHeight="1">
      <c r="A25" s="59" t="s">
        <v>47</v>
      </c>
      <c r="B25" s="44" t="s">
        <v>48</v>
      </c>
      <c r="C25" s="53">
        <v>4.0</v>
      </c>
      <c r="D25" s="46"/>
      <c r="E25" s="47"/>
      <c r="F25" s="46"/>
      <c r="G25" s="47"/>
      <c r="H25" s="46"/>
      <c r="I25" s="47"/>
      <c r="J25" s="46"/>
      <c r="K25" s="47"/>
      <c r="L25" s="46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9"/>
      <c r="AA25" s="9"/>
    </row>
    <row r="26" ht="48.75" customHeight="1">
      <c r="A26" s="59" t="s">
        <v>49</v>
      </c>
      <c r="B26" s="44" t="s">
        <v>50</v>
      </c>
      <c r="C26" s="53">
        <v>4.0</v>
      </c>
      <c r="D26" s="46"/>
      <c r="E26" s="47"/>
      <c r="F26" s="46"/>
      <c r="G26" s="47"/>
      <c r="H26" s="46"/>
      <c r="I26" s="47"/>
      <c r="J26" s="46"/>
      <c r="K26" s="47"/>
      <c r="L26" s="46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9"/>
      <c r="AA26" s="9"/>
    </row>
    <row r="27" ht="48.75" customHeight="1">
      <c r="A27" s="25" t="s">
        <v>51</v>
      </c>
      <c r="B27" s="26" t="s">
        <v>52</v>
      </c>
      <c r="C27" s="37">
        <v>4.0</v>
      </c>
      <c r="D27" s="26"/>
      <c r="E27" s="32"/>
      <c r="F27" s="26"/>
      <c r="G27" s="32"/>
      <c r="H27" s="26"/>
      <c r="I27" s="32"/>
      <c r="J27" s="26"/>
      <c r="K27" s="32"/>
      <c r="L27" s="26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9"/>
      <c r="AA27" s="9"/>
    </row>
    <row r="28" ht="43.5" customHeight="1">
      <c r="A28" s="100" t="s">
        <v>34</v>
      </c>
      <c r="B28" s="101"/>
      <c r="C28" s="66">
        <f>SUM(C23:C27)</f>
        <v>20</v>
      </c>
      <c r="D28" s="66"/>
      <c r="E28" s="66">
        <f>SUM(E23:E27)</f>
        <v>0</v>
      </c>
      <c r="F28" s="66"/>
      <c r="G28" s="66">
        <f>SUM(G23:G27)</f>
        <v>0</v>
      </c>
      <c r="H28" s="66"/>
      <c r="I28" s="66">
        <f>SUM(I23:I27)</f>
        <v>0</v>
      </c>
      <c r="J28" s="66"/>
      <c r="K28" s="66">
        <f>SUM(K23:K27)</f>
        <v>0</v>
      </c>
      <c r="L28" s="66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9"/>
      <c r="Y28" s="9"/>
      <c r="Z28" s="9"/>
      <c r="AA28" s="9"/>
    </row>
    <row r="29" ht="45.0" customHeight="1">
      <c r="A29" s="10" t="s">
        <v>55</v>
      </c>
      <c r="B29" s="13"/>
      <c r="C29" s="13"/>
      <c r="D29" s="13"/>
      <c r="E29" s="14"/>
      <c r="F29" s="13"/>
      <c r="G29" s="14"/>
      <c r="H29" s="13"/>
      <c r="I29" s="14"/>
      <c r="J29" s="13"/>
      <c r="K29" s="13"/>
      <c r="L29" s="13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9"/>
      <c r="AA29" s="9"/>
    </row>
    <row r="30" ht="43.5" customHeight="1">
      <c r="A30" s="102"/>
      <c r="B30" s="103" t="s">
        <v>57</v>
      </c>
      <c r="C30" s="69" t="str">
        <f>C22</f>
        <v>Jhonrey A. Cañete</v>
      </c>
      <c r="D30" s="69" t="s">
        <v>9</v>
      </c>
      <c r="E30" s="69" t="str">
        <f>E22</f>
        <v/>
      </c>
      <c r="F30" s="69" t="s">
        <v>9</v>
      </c>
      <c r="G30" s="69" t="str">
        <f>G22</f>
        <v>-</v>
      </c>
      <c r="H30" s="69" t="s">
        <v>9</v>
      </c>
      <c r="I30" s="69" t="str">
        <f>I22</f>
        <v>#ERROR!</v>
      </c>
      <c r="J30" s="69" t="s">
        <v>9</v>
      </c>
      <c r="K30" s="69" t="str">
        <f>K16</f>
        <v>#ERROR!</v>
      </c>
      <c r="L30" s="69" t="s">
        <v>9</v>
      </c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5"/>
      <c r="Z30" s="105"/>
      <c r="AA30" s="105"/>
    </row>
    <row r="31" ht="43.5" customHeight="1">
      <c r="A31" s="70" t="s">
        <v>61</v>
      </c>
      <c r="B31" s="71" t="s">
        <v>62</v>
      </c>
      <c r="C31" s="106">
        <v>3.0</v>
      </c>
      <c r="D31" s="75"/>
      <c r="E31" s="75"/>
      <c r="F31" s="75"/>
      <c r="G31" s="75"/>
      <c r="H31" s="75"/>
      <c r="I31" s="75"/>
      <c r="J31" s="75"/>
      <c r="K31" s="75"/>
      <c r="L31" s="75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5"/>
      <c r="Z31" s="105"/>
      <c r="AA31" s="105"/>
    </row>
    <row r="32" ht="43.5" customHeight="1">
      <c r="A32" s="70" t="s">
        <v>63</v>
      </c>
      <c r="B32" s="71" t="s">
        <v>62</v>
      </c>
      <c r="C32" s="106">
        <v>3.0</v>
      </c>
      <c r="D32" s="75"/>
      <c r="E32" s="75"/>
      <c r="F32" s="75"/>
      <c r="G32" s="75"/>
      <c r="H32" s="75"/>
      <c r="I32" s="75"/>
      <c r="J32" s="75"/>
      <c r="K32" s="75"/>
      <c r="L32" s="75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5"/>
      <c r="Z32" s="105"/>
      <c r="AA32" s="105"/>
    </row>
    <row r="33" ht="43.5" customHeight="1">
      <c r="A33" s="70" t="s">
        <v>78</v>
      </c>
      <c r="B33" s="71" t="s">
        <v>62</v>
      </c>
      <c r="C33" s="106">
        <v>3.0</v>
      </c>
      <c r="D33" s="75"/>
      <c r="E33" s="75"/>
      <c r="F33" s="75"/>
      <c r="G33" s="75"/>
      <c r="H33" s="75"/>
      <c r="I33" s="75"/>
      <c r="J33" s="75"/>
      <c r="K33" s="75"/>
      <c r="L33" s="75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5"/>
      <c r="Z33" s="105"/>
      <c r="AA33" s="105"/>
    </row>
    <row r="34" ht="43.5" customHeight="1">
      <c r="A34" s="70" t="s">
        <v>65</v>
      </c>
      <c r="B34" s="71" t="s">
        <v>66</v>
      </c>
      <c r="C34" s="106">
        <v>8.0</v>
      </c>
      <c r="D34" s="75"/>
      <c r="E34" s="75"/>
      <c r="F34" s="75"/>
      <c r="G34" s="75"/>
      <c r="H34" s="75"/>
      <c r="I34" s="75"/>
      <c r="J34" s="75"/>
      <c r="K34" s="75"/>
      <c r="L34" s="75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5"/>
      <c r="Z34" s="105"/>
      <c r="AA34" s="105"/>
    </row>
    <row r="35" ht="43.5" customHeight="1">
      <c r="A35" s="70" t="s">
        <v>79</v>
      </c>
      <c r="B35" s="71" t="s">
        <v>66</v>
      </c>
      <c r="C35" s="106">
        <v>7.0</v>
      </c>
      <c r="D35" s="75"/>
      <c r="E35" s="75"/>
      <c r="F35" s="75"/>
      <c r="G35" s="75"/>
      <c r="H35" s="75"/>
      <c r="I35" s="75"/>
      <c r="J35" s="75"/>
      <c r="K35" s="75"/>
      <c r="L35" s="75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5"/>
      <c r="Z35" s="105"/>
      <c r="AA35" s="105"/>
    </row>
    <row r="36" ht="42.75" customHeight="1">
      <c r="A36" s="70" t="s">
        <v>80</v>
      </c>
      <c r="B36" s="71" t="s">
        <v>66</v>
      </c>
      <c r="C36" s="106">
        <v>7.0</v>
      </c>
      <c r="D36" s="108"/>
      <c r="E36" s="75"/>
      <c r="F36" s="108"/>
      <c r="G36" s="75"/>
      <c r="H36" s="108"/>
      <c r="I36" s="75"/>
      <c r="J36" s="108"/>
      <c r="K36" s="75"/>
      <c r="L36" s="108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10"/>
      <c r="Z36" s="110"/>
      <c r="AA36" s="110"/>
    </row>
    <row r="37" ht="42.75" customHeight="1">
      <c r="A37" s="70" t="s">
        <v>69</v>
      </c>
      <c r="B37" s="71" t="s">
        <v>62</v>
      </c>
      <c r="C37" s="106">
        <v>3.0</v>
      </c>
      <c r="D37" s="108"/>
      <c r="E37" s="75"/>
      <c r="F37" s="108"/>
      <c r="G37" s="75"/>
      <c r="H37" s="108"/>
      <c r="I37" s="75"/>
      <c r="J37" s="108"/>
      <c r="K37" s="75"/>
      <c r="L37" s="108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10"/>
      <c r="Z37" s="110"/>
      <c r="AA37" s="110"/>
    </row>
    <row r="38" ht="42.75" customHeight="1">
      <c r="A38" s="70" t="s">
        <v>70</v>
      </c>
      <c r="B38" s="71" t="s">
        <v>62</v>
      </c>
      <c r="C38" s="106">
        <v>3.0</v>
      </c>
      <c r="D38" s="108"/>
      <c r="E38" s="75"/>
      <c r="F38" s="108"/>
      <c r="G38" s="75"/>
      <c r="H38" s="108"/>
      <c r="I38" s="75"/>
      <c r="J38" s="108"/>
      <c r="K38" s="75"/>
      <c r="L38" s="108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10"/>
      <c r="Z38" s="110"/>
      <c r="AA38" s="110"/>
    </row>
    <row r="39" ht="42.75" customHeight="1">
      <c r="A39" s="70" t="s">
        <v>81</v>
      </c>
      <c r="B39" s="71" t="s">
        <v>66</v>
      </c>
      <c r="C39" s="106">
        <v>6.0</v>
      </c>
      <c r="D39" s="108"/>
      <c r="E39" s="75"/>
      <c r="F39" s="108"/>
      <c r="G39" s="75"/>
      <c r="H39" s="108"/>
      <c r="I39" s="75"/>
      <c r="J39" s="108"/>
      <c r="K39" s="75"/>
      <c r="L39" s="108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10"/>
      <c r="Z39" s="110"/>
      <c r="AA39" s="110"/>
    </row>
    <row r="40" ht="42.75" customHeight="1">
      <c r="A40" s="70" t="s">
        <v>72</v>
      </c>
      <c r="B40" s="71" t="s">
        <v>62</v>
      </c>
      <c r="C40" s="106">
        <v>3.0</v>
      </c>
      <c r="D40" s="108"/>
      <c r="E40" s="75"/>
      <c r="F40" s="108"/>
      <c r="G40" s="75"/>
      <c r="H40" s="108"/>
      <c r="I40" s="75"/>
      <c r="J40" s="108"/>
      <c r="K40" s="75"/>
      <c r="L40" s="108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10"/>
      <c r="Z40" s="110"/>
      <c r="AA40" s="110"/>
    </row>
    <row r="41" ht="42.75" customHeight="1">
      <c r="A41" s="70" t="s">
        <v>73</v>
      </c>
      <c r="B41" s="71" t="s">
        <v>62</v>
      </c>
      <c r="C41" s="106">
        <v>3.0</v>
      </c>
      <c r="D41" s="108"/>
      <c r="E41" s="75"/>
      <c r="F41" s="108"/>
      <c r="G41" s="75"/>
      <c r="H41" s="108"/>
      <c r="I41" s="75"/>
      <c r="J41" s="108"/>
      <c r="K41" s="75"/>
      <c r="L41" s="108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10"/>
      <c r="Z41" s="110"/>
      <c r="AA41" s="110"/>
    </row>
    <row r="42" ht="42.75" customHeight="1">
      <c r="A42" s="70" t="s">
        <v>74</v>
      </c>
      <c r="B42" s="71" t="s">
        <v>62</v>
      </c>
      <c r="C42" s="106">
        <v>3.0</v>
      </c>
      <c r="D42" s="108"/>
      <c r="E42" s="75"/>
      <c r="F42" s="108"/>
      <c r="G42" s="75"/>
      <c r="H42" s="108"/>
      <c r="I42" s="75"/>
      <c r="J42" s="108"/>
      <c r="K42" s="75"/>
      <c r="L42" s="108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10"/>
      <c r="Z42" s="110"/>
      <c r="AA42" s="110"/>
    </row>
    <row r="43" ht="43.5" customHeight="1">
      <c r="A43" s="41" t="s">
        <v>17</v>
      </c>
      <c r="B43" s="42"/>
      <c r="C43" s="113">
        <f>SUM(C31:C42)</f>
        <v>52</v>
      </c>
      <c r="D43" s="113"/>
      <c r="E43" s="113">
        <f>SUM(E31:E42)</f>
        <v>0</v>
      </c>
      <c r="F43" s="113"/>
      <c r="G43" s="113">
        <f>SUM(G31:G42)</f>
        <v>0</v>
      </c>
      <c r="H43" s="113"/>
      <c r="I43" s="113">
        <f>SUM(I31:I42)</f>
        <v>0</v>
      </c>
      <c r="J43" s="113"/>
      <c r="K43" s="113"/>
      <c r="L43" s="113"/>
      <c r="M43" s="8"/>
      <c r="N43" s="8"/>
      <c r="O43" s="8"/>
      <c r="P43" s="8"/>
      <c r="Q43" s="8"/>
      <c r="R43" s="8"/>
      <c r="S43" s="8"/>
      <c r="T43" s="8"/>
      <c r="U43" s="8"/>
      <c r="V43" s="8"/>
      <c r="W43" s="9"/>
      <c r="X43" s="9"/>
      <c r="Y43" s="9"/>
      <c r="Z43" s="9"/>
      <c r="AA43" s="9"/>
    </row>
    <row r="44" ht="14.25" customHeight="1">
      <c r="A44" s="6"/>
      <c r="B44" s="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"/>
      <c r="Z44" s="9"/>
      <c r="AA44" s="9"/>
    </row>
    <row r="45" ht="14.25" customHeight="1">
      <c r="A45" s="6"/>
      <c r="B45" s="6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9"/>
      <c r="Z45" s="9"/>
      <c r="AA45" s="9"/>
    </row>
    <row r="46" ht="14.25" customHeight="1">
      <c r="A46" s="6"/>
      <c r="B46" s="6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  <c r="Z46" s="9"/>
      <c r="AA46" s="9"/>
    </row>
    <row r="47" ht="14.25" customHeight="1">
      <c r="A47" s="6"/>
      <c r="B47" s="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"/>
      <c r="Z47" s="9"/>
      <c r="AA47" s="9"/>
    </row>
    <row r="48" ht="14.25" customHeight="1">
      <c r="A48" s="6"/>
      <c r="B48" s="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"/>
      <c r="Z48" s="9"/>
      <c r="AA48" s="9"/>
    </row>
    <row r="49" ht="14.25" customHeight="1">
      <c r="A49" s="6"/>
      <c r="B49" s="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"/>
      <c r="Z49" s="9"/>
      <c r="AA49" s="9"/>
    </row>
    <row r="50" ht="14.25" customHeight="1">
      <c r="A50" s="6"/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"/>
      <c r="Z50" s="9"/>
      <c r="AA50" s="9"/>
    </row>
    <row r="51" ht="14.25" customHeight="1">
      <c r="A51" s="6"/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"/>
      <c r="Z51" s="9"/>
      <c r="AA51" s="9"/>
    </row>
    <row r="52" ht="14.25" customHeight="1">
      <c r="A52" s="6"/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  <c r="Z52" s="9"/>
      <c r="AA52" s="9"/>
    </row>
    <row r="53" ht="14.25" customHeight="1">
      <c r="A53" s="6"/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  <c r="Z53" s="9"/>
      <c r="AA53" s="9"/>
    </row>
    <row r="54" ht="14.25" customHeight="1">
      <c r="A54" s="6"/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"/>
      <c r="Z54" s="9"/>
      <c r="AA54" s="9"/>
    </row>
    <row r="55" ht="14.25" customHeight="1">
      <c r="A55" s="6"/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"/>
      <c r="Z55" s="9"/>
      <c r="AA55" s="9"/>
    </row>
    <row r="56" ht="14.25" customHeight="1">
      <c r="A56" s="6"/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9"/>
      <c r="AA56" s="9"/>
    </row>
    <row r="57" ht="14.25" customHeight="1">
      <c r="A57" s="6"/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  <c r="Z57" s="9"/>
      <c r="AA57" s="9"/>
    </row>
    <row r="58" ht="14.25" customHeight="1">
      <c r="A58" s="6"/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9"/>
      <c r="AA58" s="9"/>
    </row>
    <row r="59" ht="14.25" customHeight="1">
      <c r="A59" s="6"/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9"/>
      <c r="AA59" s="9"/>
    </row>
    <row r="60" ht="14.25" customHeight="1">
      <c r="A60" s="6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9"/>
      <c r="AA60" s="9"/>
    </row>
    <row r="61" ht="14.25" customHeight="1">
      <c r="A61" s="6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9"/>
      <c r="AA61" s="9"/>
    </row>
    <row r="62" ht="14.25" customHeight="1">
      <c r="A62" s="6"/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9"/>
      <c r="AA62" s="9"/>
    </row>
    <row r="63" ht="14.25" customHeight="1">
      <c r="A63" s="6"/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9"/>
      <c r="AA63" s="9"/>
    </row>
    <row r="64" ht="14.25" customHeight="1">
      <c r="A64" s="6"/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9"/>
      <c r="AA64" s="9"/>
    </row>
    <row r="65" ht="14.25" customHeight="1">
      <c r="A65" s="6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"/>
      <c r="Z65" s="9"/>
      <c r="AA65" s="9"/>
    </row>
    <row r="66" ht="14.25" customHeight="1">
      <c r="A66" s="6"/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9"/>
      <c r="AA66" s="9"/>
    </row>
    <row r="67" ht="14.25" customHeight="1">
      <c r="A67" s="6"/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9"/>
      <c r="AA67" s="9"/>
    </row>
    <row r="68" ht="14.25" customHeight="1">
      <c r="A68" s="6"/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9"/>
      <c r="AA68" s="9"/>
    </row>
    <row r="69" ht="14.25" customHeight="1">
      <c r="A69" s="6"/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  <c r="Z69" s="9"/>
      <c r="AA69" s="9"/>
    </row>
    <row r="70" ht="14.25" customHeight="1">
      <c r="A70" s="6"/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9"/>
      <c r="AA70" s="9"/>
    </row>
    <row r="71" ht="14.25" customHeight="1">
      <c r="A71" s="6"/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9"/>
      <c r="AA71" s="9"/>
    </row>
    <row r="72" ht="14.25" customHeight="1">
      <c r="A72" s="6"/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9"/>
      <c r="AA72" s="9"/>
    </row>
    <row r="73" ht="14.25" customHeight="1">
      <c r="A73" s="6"/>
      <c r="B73" s="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  <c r="Z73" s="9"/>
      <c r="AA73" s="9"/>
    </row>
    <row r="74" ht="14.25" customHeight="1">
      <c r="A74" s="6"/>
      <c r="B74" s="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9"/>
      <c r="AA74" s="9"/>
    </row>
    <row r="75" ht="14.25" customHeight="1">
      <c r="A75" s="6"/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9"/>
      <c r="AA75" s="9"/>
    </row>
    <row r="76" ht="14.25" customHeight="1">
      <c r="A76" s="6"/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9"/>
      <c r="AA76" s="9"/>
    </row>
    <row r="77" ht="14.25" customHeight="1">
      <c r="A77" s="6"/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9"/>
      <c r="AA77" s="9"/>
    </row>
    <row r="78" ht="14.25" customHeight="1">
      <c r="A78" s="6"/>
      <c r="B78" s="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9"/>
      <c r="AA78" s="9"/>
    </row>
    <row r="79" ht="14.25" customHeight="1">
      <c r="A79" s="6"/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9"/>
      <c r="AA79" s="9"/>
    </row>
    <row r="80" ht="14.25" customHeight="1">
      <c r="A80" s="6"/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9"/>
      <c r="AA80" s="9"/>
    </row>
    <row r="81" ht="14.25" customHeight="1">
      <c r="A81" s="6"/>
      <c r="B81" s="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9"/>
      <c r="AA81" s="9"/>
    </row>
    <row r="82" ht="14.25" customHeight="1">
      <c r="A82" s="6"/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9"/>
      <c r="AA82" s="9"/>
    </row>
    <row r="83" ht="14.25" customHeight="1">
      <c r="A83" s="6"/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9"/>
      <c r="AA83" s="9"/>
    </row>
    <row r="84" ht="14.25" customHeight="1">
      <c r="A84" s="6"/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9"/>
      <c r="AA84" s="9"/>
    </row>
    <row r="85" ht="14.25" customHeight="1">
      <c r="A85" s="6"/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9"/>
      <c r="AA85" s="9"/>
    </row>
    <row r="86" ht="14.25" customHeight="1">
      <c r="A86" s="6"/>
      <c r="B86" s="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9"/>
      <c r="AA86" s="9"/>
    </row>
    <row r="87" ht="14.25" customHeight="1">
      <c r="A87" s="6"/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9"/>
      <c r="AA87" s="9"/>
    </row>
    <row r="88" ht="14.25" customHeight="1">
      <c r="A88" s="6"/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9"/>
      <c r="AA88" s="9"/>
    </row>
    <row r="89" ht="14.25" customHeight="1">
      <c r="A89" s="6"/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9"/>
      <c r="AA89" s="9"/>
    </row>
    <row r="90" ht="14.25" customHeight="1">
      <c r="A90" s="6"/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9"/>
      <c r="AA90" s="9"/>
    </row>
    <row r="91" ht="14.25" customHeight="1">
      <c r="A91" s="6"/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9"/>
      <c r="AA91" s="9"/>
    </row>
    <row r="92" ht="14.25" customHeight="1">
      <c r="A92" s="6"/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9"/>
      <c r="AA92" s="9"/>
    </row>
    <row r="93" ht="14.25" customHeight="1">
      <c r="A93" s="6"/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  <c r="Z93" s="9"/>
      <c r="AA93" s="9"/>
    </row>
    <row r="94" ht="14.25" customHeight="1">
      <c r="A94" s="6"/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9"/>
      <c r="AA94" s="9"/>
    </row>
    <row r="95" ht="14.25" customHeight="1">
      <c r="A95" s="6"/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9"/>
      <c r="AA95" s="9"/>
    </row>
    <row r="96" ht="14.25" customHeight="1">
      <c r="A96" s="6"/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9"/>
      <c r="AA96" s="9"/>
    </row>
    <row r="97" ht="14.25" customHeight="1">
      <c r="A97" s="6"/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9"/>
      <c r="AA97" s="9"/>
    </row>
    <row r="98" ht="14.25" customHeight="1">
      <c r="A98" s="6"/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9"/>
      <c r="AA98" s="9"/>
    </row>
    <row r="99" ht="14.25" customHeight="1">
      <c r="A99" s="6"/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9"/>
      <c r="AA99" s="9"/>
    </row>
    <row r="100" ht="14.25" customHeight="1">
      <c r="A100" s="6"/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9"/>
      <c r="AA100" s="9"/>
    </row>
    <row r="101" ht="14.25" customHeight="1">
      <c r="A101" s="6"/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9"/>
      <c r="AA101" s="9"/>
    </row>
    <row r="102" ht="14.25" customHeight="1">
      <c r="A102" s="6"/>
      <c r="B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9"/>
      <c r="AA102" s="9"/>
    </row>
    <row r="103" ht="14.25" customHeight="1">
      <c r="A103" s="6"/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9"/>
      <c r="AA103" s="9"/>
    </row>
    <row r="104" ht="14.25" customHeight="1">
      <c r="A104" s="6"/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9"/>
      <c r="AA104" s="9"/>
    </row>
    <row r="105" ht="14.25" customHeight="1">
      <c r="A105" s="6"/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9"/>
      <c r="AA105" s="9"/>
    </row>
    <row r="106" ht="14.25" customHeight="1">
      <c r="A106" s="6"/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9"/>
      <c r="AA106" s="9"/>
    </row>
    <row r="107" ht="14.25" customHeight="1">
      <c r="A107" s="6"/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9"/>
      <c r="AA107" s="9"/>
    </row>
    <row r="108" ht="14.25" customHeight="1">
      <c r="A108" s="6"/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"/>
      <c r="Z108" s="9"/>
      <c r="AA108" s="9"/>
    </row>
    <row r="109" ht="14.25" customHeight="1">
      <c r="A109" s="6"/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9"/>
      <c r="AA109" s="9"/>
    </row>
    <row r="110" ht="14.25" customHeight="1">
      <c r="A110" s="6"/>
      <c r="B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9"/>
      <c r="AA110" s="9"/>
    </row>
    <row r="111" ht="14.25" customHeight="1">
      <c r="A111" s="6"/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9"/>
      <c r="AA111" s="9"/>
    </row>
    <row r="112" ht="14.25" customHeight="1">
      <c r="A112" s="6"/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9"/>
      <c r="AA112" s="9"/>
    </row>
    <row r="113" ht="14.25" customHeight="1">
      <c r="A113" s="6"/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9"/>
      <c r="AA113" s="9"/>
    </row>
    <row r="114" ht="14.25" customHeight="1">
      <c r="A114" s="6"/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9"/>
      <c r="AA114" s="9"/>
    </row>
    <row r="115" ht="14.25" customHeight="1">
      <c r="A115" s="6"/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"/>
      <c r="Z115" s="9"/>
      <c r="AA115" s="9"/>
    </row>
    <row r="116" ht="14.25" customHeight="1">
      <c r="A116" s="6"/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9"/>
      <c r="AA116" s="9"/>
    </row>
    <row r="117" ht="14.25" customHeight="1">
      <c r="A117" s="6"/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9"/>
      <c r="AA117" s="9"/>
    </row>
    <row r="118" ht="14.25" customHeight="1">
      <c r="A118" s="6"/>
      <c r="B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9"/>
      <c r="AA118" s="9"/>
    </row>
    <row r="119" ht="14.25" customHeight="1">
      <c r="A119" s="6"/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9"/>
      <c r="AA119" s="9"/>
    </row>
    <row r="120" ht="14.25" customHeight="1">
      <c r="A120" s="6"/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9"/>
      <c r="AA120" s="9"/>
    </row>
    <row r="121" ht="14.25" customHeight="1">
      <c r="A121" s="6"/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"/>
      <c r="Z121" s="9"/>
      <c r="AA121" s="9"/>
    </row>
    <row r="122" ht="14.25" customHeight="1">
      <c r="A122" s="6"/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9"/>
      <c r="AA122" s="9"/>
    </row>
    <row r="123" ht="14.25" customHeight="1">
      <c r="A123" s="6"/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9"/>
      <c r="AA123" s="9"/>
    </row>
    <row r="124" ht="14.25" customHeight="1">
      <c r="A124" s="6"/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9"/>
      <c r="AA124" s="9"/>
    </row>
    <row r="125" ht="14.25" customHeight="1">
      <c r="A125" s="6"/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9"/>
      <c r="AA125" s="9"/>
    </row>
    <row r="126" ht="14.25" customHeight="1">
      <c r="A126" s="6"/>
      <c r="B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9"/>
      <c r="AA126" s="9"/>
    </row>
    <row r="127" ht="14.25" customHeight="1">
      <c r="A127" s="6"/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9"/>
      <c r="AA127" s="9"/>
    </row>
    <row r="128" ht="14.25" customHeight="1">
      <c r="A128" s="6"/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9"/>
      <c r="AA128" s="9"/>
    </row>
    <row r="129" ht="14.25" customHeight="1">
      <c r="A129" s="6"/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9"/>
      <c r="Z129" s="9"/>
      <c r="AA129" s="9"/>
    </row>
    <row r="130" ht="14.25" customHeight="1">
      <c r="A130" s="6"/>
      <c r="B130" s="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9"/>
      <c r="AA130" s="9"/>
    </row>
    <row r="131" ht="14.25" customHeight="1">
      <c r="A131" s="6"/>
      <c r="B131" s="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9"/>
      <c r="AA131" s="9"/>
    </row>
    <row r="132" ht="14.25" customHeight="1">
      <c r="A132" s="6"/>
      <c r="B132" s="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9"/>
      <c r="AA132" s="9"/>
    </row>
    <row r="133" ht="14.25" customHeight="1">
      <c r="A133" s="6"/>
      <c r="B133" s="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"/>
      <c r="Z133" s="9"/>
      <c r="AA133" s="9"/>
    </row>
    <row r="134" ht="14.25" customHeight="1">
      <c r="A134" s="6"/>
      <c r="B134" s="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9"/>
      <c r="AA134" s="9"/>
    </row>
    <row r="135" ht="14.25" customHeight="1">
      <c r="A135" s="6"/>
      <c r="B135" s="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9"/>
      <c r="Z135" s="9"/>
      <c r="AA135" s="9"/>
    </row>
    <row r="136" ht="14.25" customHeight="1">
      <c r="A136" s="6"/>
      <c r="B136" s="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9"/>
      <c r="AA136" s="9"/>
    </row>
    <row r="137" ht="14.25" customHeight="1">
      <c r="A137" s="6"/>
      <c r="B137" s="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9"/>
      <c r="AA137" s="9"/>
    </row>
    <row r="138" ht="14.25" customHeight="1">
      <c r="A138" s="6"/>
      <c r="B138" s="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9"/>
      <c r="AA138" s="9"/>
    </row>
    <row r="139" ht="14.25" customHeight="1">
      <c r="A139" s="6"/>
      <c r="B139" s="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9"/>
      <c r="AA139" s="9"/>
    </row>
    <row r="140" ht="14.25" customHeight="1">
      <c r="A140" s="6"/>
      <c r="B140" s="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9"/>
      <c r="AA140" s="9"/>
    </row>
    <row r="141" ht="14.25" customHeight="1">
      <c r="A141" s="6"/>
      <c r="B141" s="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9"/>
      <c r="AA141" s="9"/>
    </row>
    <row r="142" ht="14.25" customHeight="1">
      <c r="A142" s="6"/>
      <c r="B142" s="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9"/>
      <c r="AA142" s="9"/>
    </row>
    <row r="143" ht="14.25" customHeight="1">
      <c r="A143" s="6"/>
      <c r="B143" s="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  <c r="Z143" s="9"/>
      <c r="AA143" s="9"/>
    </row>
    <row r="144" ht="14.25" customHeight="1">
      <c r="A144" s="6"/>
      <c r="B144" s="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9"/>
      <c r="AA144" s="9"/>
    </row>
    <row r="145" ht="14.25" customHeight="1">
      <c r="A145" s="6"/>
      <c r="B145" s="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"/>
      <c r="Z145" s="9"/>
      <c r="AA145" s="9"/>
    </row>
    <row r="146" ht="14.25" customHeight="1">
      <c r="A146" s="6"/>
      <c r="B146" s="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9"/>
      <c r="AA146" s="9"/>
    </row>
    <row r="147" ht="14.25" customHeight="1">
      <c r="A147" s="6"/>
      <c r="B147" s="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9"/>
      <c r="AA147" s="9"/>
    </row>
    <row r="148" ht="14.25" customHeight="1">
      <c r="A148" s="6"/>
      <c r="B148" s="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9"/>
      <c r="AA148" s="9"/>
    </row>
    <row r="149" ht="14.25" customHeight="1">
      <c r="A149" s="6"/>
      <c r="B149" s="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"/>
      <c r="Z149" s="9"/>
      <c r="AA149" s="9"/>
    </row>
    <row r="150" ht="14.25" customHeight="1">
      <c r="A150" s="6"/>
      <c r="B150" s="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"/>
      <c r="Z150" s="9"/>
      <c r="AA150" s="9"/>
    </row>
    <row r="151" ht="14.25" customHeight="1">
      <c r="A151" s="6"/>
      <c r="B151" s="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9"/>
      <c r="AA151" s="9"/>
    </row>
    <row r="152" ht="14.25" customHeight="1">
      <c r="A152" s="6"/>
      <c r="B152" s="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9"/>
      <c r="AA152" s="9"/>
    </row>
    <row r="153" ht="14.25" customHeight="1">
      <c r="A153" s="6"/>
      <c r="B153" s="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9"/>
      <c r="AA153" s="9"/>
    </row>
    <row r="154" ht="14.25" customHeight="1">
      <c r="A154" s="6"/>
      <c r="B154" s="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9"/>
      <c r="AA154" s="9"/>
    </row>
    <row r="155" ht="14.25" customHeight="1">
      <c r="A155" s="6"/>
      <c r="B155" s="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9"/>
      <c r="AA155" s="9"/>
    </row>
    <row r="156" ht="14.25" customHeight="1">
      <c r="A156" s="6"/>
      <c r="B156" s="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9"/>
      <c r="AA156" s="9"/>
    </row>
    <row r="157" ht="14.25" customHeight="1">
      <c r="A157" s="6"/>
      <c r="B157" s="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"/>
      <c r="Z157" s="9"/>
      <c r="AA157" s="9"/>
    </row>
    <row r="158" ht="14.25" customHeight="1">
      <c r="A158" s="6"/>
      <c r="B158" s="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9"/>
      <c r="AA158" s="9"/>
    </row>
    <row r="159" ht="14.25" customHeight="1">
      <c r="A159" s="6"/>
      <c r="B159" s="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9"/>
      <c r="AA159" s="9"/>
    </row>
    <row r="160" ht="14.25" customHeight="1">
      <c r="A160" s="6"/>
      <c r="B160" s="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9"/>
      <c r="AA160" s="9"/>
    </row>
    <row r="161" ht="14.25" customHeight="1">
      <c r="A161" s="6"/>
      <c r="B161" s="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9"/>
      <c r="AA161" s="9"/>
    </row>
    <row r="162" ht="14.25" customHeight="1">
      <c r="A162" s="6"/>
      <c r="B162" s="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9"/>
      <c r="AA162" s="9"/>
    </row>
    <row r="163" ht="14.25" customHeight="1">
      <c r="A163" s="6"/>
      <c r="B163" s="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"/>
      <c r="Z163" s="9"/>
      <c r="AA163" s="9"/>
    </row>
    <row r="164" ht="14.25" customHeight="1">
      <c r="A164" s="6"/>
      <c r="B164" s="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"/>
      <c r="Z164" s="9"/>
      <c r="AA164" s="9"/>
    </row>
    <row r="165" ht="14.25" customHeight="1">
      <c r="A165" s="6"/>
      <c r="B165" s="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9"/>
      <c r="AA165" s="9"/>
    </row>
    <row r="166" ht="14.25" customHeight="1">
      <c r="A166" s="6"/>
      <c r="B166" s="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9"/>
      <c r="AA166" s="9"/>
    </row>
    <row r="167" ht="14.25" customHeight="1">
      <c r="A167" s="6"/>
      <c r="B167" s="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9"/>
      <c r="AA167" s="9"/>
    </row>
    <row r="168" ht="14.25" customHeight="1">
      <c r="A168" s="6"/>
      <c r="B168" s="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9"/>
      <c r="AA168" s="9"/>
    </row>
    <row r="169" ht="14.25" customHeight="1">
      <c r="A169" s="6"/>
      <c r="B169" s="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9"/>
      <c r="AA169" s="9"/>
    </row>
    <row r="170" ht="14.25" customHeight="1">
      <c r="A170" s="6"/>
      <c r="B170" s="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"/>
      <c r="Z170" s="9"/>
      <c r="AA170" s="9"/>
    </row>
    <row r="171" ht="14.25" customHeight="1">
      <c r="A171" s="6"/>
      <c r="B171" s="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"/>
      <c r="Z171" s="9"/>
      <c r="AA171" s="9"/>
    </row>
    <row r="172" ht="14.25" customHeight="1">
      <c r="A172" s="6"/>
      <c r="B172" s="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9"/>
      <c r="AA172" s="9"/>
    </row>
    <row r="173" ht="14.25" customHeight="1">
      <c r="A173" s="6"/>
      <c r="B173" s="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"/>
      <c r="Z173" s="9"/>
      <c r="AA173" s="9"/>
    </row>
    <row r="174" ht="14.25" customHeight="1">
      <c r="A174" s="6"/>
      <c r="B174" s="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9"/>
      <c r="AA174" s="9"/>
    </row>
    <row r="175" ht="14.25" customHeight="1">
      <c r="A175" s="6"/>
      <c r="B175" s="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9"/>
      <c r="AA175" s="9"/>
    </row>
    <row r="176" ht="14.25" customHeight="1">
      <c r="A176" s="6"/>
      <c r="B176" s="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9"/>
      <c r="AA176" s="9"/>
    </row>
    <row r="177" ht="14.25" customHeight="1">
      <c r="A177" s="6"/>
      <c r="B177" s="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"/>
      <c r="Z177" s="9"/>
      <c r="AA177" s="9"/>
    </row>
    <row r="178" ht="14.25" customHeight="1">
      <c r="A178" s="6"/>
      <c r="B178" s="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"/>
      <c r="Z178" s="9"/>
      <c r="AA178" s="9"/>
    </row>
    <row r="179" ht="14.25" customHeight="1">
      <c r="A179" s="6"/>
      <c r="B179" s="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9"/>
      <c r="AA179" s="9"/>
    </row>
    <row r="180" ht="14.25" customHeight="1">
      <c r="A180" s="6"/>
      <c r="B180" s="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9"/>
      <c r="AA180" s="9"/>
    </row>
    <row r="181" ht="14.25" customHeight="1">
      <c r="A181" s="6"/>
      <c r="B181" s="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9"/>
      <c r="AA181" s="9"/>
    </row>
    <row r="182" ht="14.25" customHeight="1">
      <c r="A182" s="6"/>
      <c r="B182" s="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9"/>
      <c r="AA182" s="9"/>
    </row>
    <row r="183" ht="14.25" customHeight="1">
      <c r="A183" s="6"/>
      <c r="B183" s="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9"/>
      <c r="AA183" s="9"/>
    </row>
    <row r="184" ht="14.25" customHeight="1">
      <c r="A184" s="6"/>
      <c r="B184" s="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9"/>
      <c r="AA184" s="9"/>
    </row>
    <row r="185" ht="14.25" customHeight="1">
      <c r="A185" s="6"/>
      <c r="B185" s="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9"/>
      <c r="AA185" s="9"/>
    </row>
    <row r="186" ht="14.25" customHeight="1">
      <c r="A186" s="6"/>
      <c r="B186" s="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9"/>
      <c r="AA186" s="9"/>
    </row>
    <row r="187" ht="14.25" customHeight="1">
      <c r="A187" s="6"/>
      <c r="B187" s="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9"/>
      <c r="AA187" s="9"/>
    </row>
    <row r="188" ht="14.25" customHeight="1">
      <c r="A188" s="6"/>
      <c r="B188" s="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9"/>
      <c r="AA188" s="9"/>
    </row>
    <row r="189" ht="14.25" customHeight="1">
      <c r="A189" s="6"/>
      <c r="B189" s="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9"/>
      <c r="AA189" s="9"/>
    </row>
    <row r="190" ht="14.25" customHeight="1">
      <c r="A190" s="6"/>
      <c r="B190" s="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9"/>
      <c r="AA190" s="9"/>
    </row>
    <row r="191" ht="14.25" customHeight="1">
      <c r="A191" s="6"/>
      <c r="B191" s="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9"/>
      <c r="AA191" s="9"/>
    </row>
    <row r="192" ht="14.25" customHeight="1">
      <c r="A192" s="6"/>
      <c r="B192" s="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9"/>
      <c r="AA192" s="9"/>
    </row>
    <row r="193" ht="14.25" customHeight="1">
      <c r="A193" s="6"/>
      <c r="B193" s="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9"/>
      <c r="AA193" s="9"/>
    </row>
    <row r="194" ht="14.25" customHeight="1">
      <c r="A194" s="6"/>
      <c r="B194" s="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9"/>
      <c r="AA194" s="9"/>
    </row>
    <row r="195" ht="14.25" customHeight="1">
      <c r="A195" s="6"/>
      <c r="B195" s="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9"/>
      <c r="AA195" s="9"/>
    </row>
    <row r="196" ht="14.25" customHeight="1">
      <c r="A196" s="6"/>
      <c r="B196" s="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9"/>
      <c r="AA196" s="9"/>
    </row>
    <row r="197" ht="14.25" customHeight="1">
      <c r="A197" s="6"/>
      <c r="B197" s="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9"/>
      <c r="AA197" s="9"/>
    </row>
    <row r="198" ht="14.25" customHeight="1">
      <c r="A198" s="6"/>
      <c r="B198" s="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9"/>
      <c r="AA198" s="9"/>
    </row>
    <row r="199" ht="14.25" customHeight="1">
      <c r="A199" s="6"/>
      <c r="B199" s="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9"/>
      <c r="AA199" s="9"/>
    </row>
    <row r="200" ht="14.25" customHeight="1">
      <c r="A200" s="6"/>
      <c r="B200" s="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9"/>
      <c r="AA200" s="9"/>
    </row>
    <row r="201" ht="14.25" customHeight="1">
      <c r="A201" s="6"/>
      <c r="B201" s="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9"/>
      <c r="AA201" s="9"/>
    </row>
    <row r="202" ht="14.25" customHeight="1">
      <c r="A202" s="6"/>
      <c r="B202" s="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9"/>
      <c r="AA202" s="9"/>
    </row>
    <row r="203" ht="14.25" customHeight="1">
      <c r="A203" s="6"/>
      <c r="B203" s="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9"/>
      <c r="AA203" s="9"/>
    </row>
    <row r="204" ht="14.25" customHeight="1">
      <c r="A204" s="6"/>
      <c r="B204" s="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9"/>
      <c r="AA204" s="9"/>
    </row>
    <row r="205" ht="14.25" customHeight="1">
      <c r="A205" s="6"/>
      <c r="B205" s="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"/>
      <c r="Z205" s="9"/>
      <c r="AA205" s="9"/>
    </row>
    <row r="206" ht="14.25" customHeight="1">
      <c r="A206" s="6"/>
      <c r="B206" s="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9"/>
      <c r="AA206" s="9"/>
    </row>
    <row r="207" ht="14.25" customHeight="1">
      <c r="A207" s="6"/>
      <c r="B207" s="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9"/>
      <c r="AA207" s="9"/>
    </row>
    <row r="208" ht="14.25" customHeight="1">
      <c r="A208" s="6"/>
      <c r="B208" s="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9"/>
      <c r="AA208" s="9"/>
    </row>
    <row r="209" ht="14.25" customHeight="1">
      <c r="A209" s="6"/>
      <c r="B209" s="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9"/>
      <c r="AA209" s="9"/>
    </row>
    <row r="210" ht="14.25" customHeight="1">
      <c r="A210" s="6"/>
      <c r="B210" s="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9"/>
      <c r="AA210" s="9"/>
    </row>
    <row r="211" ht="14.25" customHeight="1">
      <c r="A211" s="6"/>
      <c r="B211" s="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9"/>
      <c r="AA211" s="9"/>
    </row>
    <row r="212" ht="14.25" customHeight="1">
      <c r="A212" s="6"/>
      <c r="B212" s="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9"/>
      <c r="AA212" s="9"/>
    </row>
    <row r="213" ht="14.25" customHeight="1">
      <c r="A213" s="6"/>
      <c r="B213" s="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9"/>
      <c r="Z213" s="9"/>
      <c r="AA213" s="9"/>
    </row>
    <row r="214" ht="14.25" customHeight="1">
      <c r="A214" s="6"/>
      <c r="B214" s="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9"/>
      <c r="AA214" s="9"/>
    </row>
    <row r="215" ht="14.25" customHeight="1">
      <c r="A215" s="6"/>
      <c r="B215" s="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9"/>
      <c r="AA215" s="9"/>
    </row>
    <row r="216" ht="14.25" customHeight="1">
      <c r="A216" s="6"/>
      <c r="B216" s="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9"/>
      <c r="AA216" s="9"/>
    </row>
    <row r="217" ht="14.25" customHeight="1">
      <c r="A217" s="6"/>
      <c r="B217" s="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9"/>
      <c r="AA217" s="9"/>
    </row>
    <row r="218" ht="14.25" customHeight="1">
      <c r="A218" s="6"/>
      <c r="B218" s="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9"/>
      <c r="AA218" s="9"/>
    </row>
    <row r="219" ht="14.25" customHeight="1">
      <c r="A219" s="6"/>
      <c r="B219" s="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9"/>
      <c r="AA219" s="9"/>
    </row>
    <row r="220" ht="14.25" customHeight="1">
      <c r="A220" s="6"/>
      <c r="B220" s="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9"/>
      <c r="AA220" s="9"/>
    </row>
    <row r="221" ht="14.25" customHeight="1">
      <c r="A221" s="6"/>
      <c r="B221" s="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9"/>
      <c r="AA221" s="9"/>
    </row>
    <row r="222" ht="14.25" customHeight="1">
      <c r="A222" s="6"/>
      <c r="B222" s="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9"/>
      <c r="AA222" s="9"/>
    </row>
    <row r="223" ht="14.25" customHeight="1">
      <c r="A223" s="6"/>
      <c r="B223" s="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9"/>
      <c r="AA223" s="9"/>
    </row>
    <row r="224" ht="14.25" customHeight="1">
      <c r="A224" s="6"/>
      <c r="B224" s="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9"/>
      <c r="AA224" s="9"/>
    </row>
    <row r="225" ht="14.25" customHeight="1">
      <c r="A225" s="6"/>
      <c r="B225" s="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9"/>
      <c r="AA225" s="9"/>
    </row>
    <row r="226" ht="14.25" customHeight="1">
      <c r="A226" s="6"/>
      <c r="B226" s="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9"/>
      <c r="AA226" s="9"/>
    </row>
    <row r="227" ht="14.25" customHeight="1">
      <c r="A227" s="6"/>
      <c r="B227" s="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9"/>
      <c r="AA227" s="9"/>
    </row>
    <row r="228" ht="14.25" customHeight="1">
      <c r="A228" s="6"/>
      <c r="B228" s="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9"/>
      <c r="AA228" s="9"/>
    </row>
    <row r="229" ht="14.25" customHeight="1">
      <c r="A229" s="6"/>
      <c r="B229" s="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9"/>
      <c r="AA229" s="9"/>
    </row>
    <row r="230" ht="14.25" customHeight="1">
      <c r="A230" s="6"/>
      <c r="B230" s="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9"/>
      <c r="AA230" s="9"/>
    </row>
    <row r="231" ht="14.25" customHeight="1">
      <c r="A231" s="6"/>
      <c r="B231" s="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9"/>
      <c r="AA231" s="9"/>
    </row>
    <row r="232" ht="14.25" customHeight="1">
      <c r="A232" s="6"/>
      <c r="B232" s="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9"/>
      <c r="AA232" s="9"/>
    </row>
    <row r="233" ht="14.25" customHeight="1">
      <c r="A233" s="6"/>
      <c r="B233" s="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9"/>
      <c r="AA233" s="9"/>
    </row>
    <row r="234" ht="14.25" customHeight="1">
      <c r="A234" s="6"/>
      <c r="B234" s="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9"/>
      <c r="AA234" s="9"/>
    </row>
    <row r="235" ht="14.25" customHeight="1">
      <c r="A235" s="6"/>
      <c r="B235" s="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9"/>
      <c r="AA235" s="9"/>
    </row>
    <row r="236" ht="14.25" customHeight="1">
      <c r="A236" s="6"/>
      <c r="B236" s="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9"/>
      <c r="AA236" s="9"/>
    </row>
    <row r="237" ht="14.25" customHeight="1">
      <c r="A237" s="6"/>
      <c r="B237" s="6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9"/>
      <c r="Z237" s="9"/>
      <c r="AA237" s="9"/>
    </row>
    <row r="238" ht="14.25" customHeight="1">
      <c r="A238" s="6"/>
      <c r="B238" s="6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9"/>
      <c r="Z238" s="9"/>
      <c r="AA238" s="9"/>
    </row>
    <row r="239" ht="14.25" customHeight="1">
      <c r="A239" s="6"/>
      <c r="B239" s="6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9"/>
      <c r="Z239" s="9"/>
      <c r="AA239" s="9"/>
    </row>
    <row r="240" ht="14.25" customHeight="1">
      <c r="A240" s="6"/>
      <c r="B240" s="6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9"/>
      <c r="Z240" s="9"/>
      <c r="AA240" s="9"/>
    </row>
    <row r="241" ht="14.25" customHeight="1">
      <c r="A241" s="6"/>
      <c r="B241" s="6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9"/>
      <c r="Z241" s="9"/>
      <c r="AA241" s="9"/>
    </row>
    <row r="242" ht="14.25" customHeight="1">
      <c r="A242" s="6"/>
      <c r="B242" s="6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9"/>
      <c r="Z242" s="9"/>
      <c r="AA242" s="9"/>
    </row>
    <row r="243" ht="14.25" customHeight="1">
      <c r="A243" s="6"/>
      <c r="B243" s="6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9"/>
      <c r="Z243" s="9"/>
      <c r="AA243" s="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B2"/>
    <mergeCell ref="A7:B7"/>
    <mergeCell ref="A10:B10"/>
    <mergeCell ref="A15:B15"/>
    <mergeCell ref="A19:B19"/>
    <mergeCell ref="A20:B20"/>
    <mergeCell ref="A28:B28"/>
    <mergeCell ref="A43:B43"/>
  </mergeCells>
  <dataValidations>
    <dataValidation type="list" allowBlank="1" showErrorMessage="1" sqref="C34:C36 E34:E36 C39 E39">
      <formula1>"0,1,2,3,4,5,6,7,8,9,10"</formula1>
    </dataValidation>
    <dataValidation type="list" allowBlank="1" showErrorMessage="1" sqref="C5:C6 E5:E6 G5:G6 I5:I6 K5:K6 C9 E9 G9 I9 K9 C12:C14 E12:E14 G12:G14 I12:I14 K12:K14 C17:C18 E17:E18 G17:G18 I17:I18 K17:K18 C23:C27 E23:E27 G23:G27 I23:I27 K23:K27 C31:C33 E31:E33 K36 C37:C38 E37:E38 G37:G38 I37:I38 C40:C42 E40:E42 G40:G42 I40:I42">
      <formula1>"0,1,2,3,4,5"</formula1>
    </dataValidation>
  </dataValidations>
  <printOptions/>
  <pageMargins bottom="0.75" footer="0.0" header="0.0" left="0.520833333333333" right="0.25" top="0.427083333333333"/>
  <pageSetup paperSize="14" orientation="landscape"/>
  <rowBreaks count="1" manualBreakCount="1">
    <brk id="21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68.57"/>
    <col customWidth="1" min="2" max="2" width="71.86"/>
    <col customWidth="1" min="3" max="3" width="37.0"/>
    <col customWidth="1" min="4" max="4" width="42.0"/>
    <col customWidth="1" min="5" max="5" width="34.57"/>
    <col customWidth="1" min="6" max="6" width="36.57"/>
    <col customWidth="1" min="7" max="7" width="37.14"/>
    <col customWidth="1" min="8" max="8" width="37.86"/>
    <col customWidth="1" min="9" max="9" width="37.14"/>
    <col customWidth="1" min="10" max="10" width="37.86"/>
    <col customWidth="1" min="11" max="11" width="37.14"/>
    <col customWidth="1" min="12" max="12" width="37.86"/>
    <col customWidth="1" min="13" max="15" width="7.86"/>
    <col customWidth="1" min="16" max="24" width="8.71"/>
  </cols>
  <sheetData>
    <row r="1" ht="43.5" customHeight="1">
      <c r="A1" s="1" t="s">
        <v>0</v>
      </c>
      <c r="B1" s="1"/>
      <c r="C1" s="1"/>
      <c r="D1" s="1"/>
      <c r="E1" s="2" t="s">
        <v>1</v>
      </c>
      <c r="F1" s="118" t="s">
        <v>82</v>
      </c>
      <c r="G1" s="2"/>
      <c r="H1" s="3"/>
      <c r="I1" s="2" t="s">
        <v>3</v>
      </c>
      <c r="J1" s="3" t="str">
        <f>CHAIR!#REF!</f>
        <v>#ERROR!</v>
      </c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  <c r="AB1" s="119"/>
      <c r="AC1" s="119"/>
      <c r="AD1" s="119"/>
    </row>
    <row r="2" ht="43.5" customHeight="1">
      <c r="A2" s="6"/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9"/>
      <c r="AA2" s="9"/>
      <c r="AB2" s="119"/>
      <c r="AC2" s="119"/>
      <c r="AD2" s="119"/>
    </row>
    <row r="3" ht="43.5" customHeight="1">
      <c r="A3" s="10" t="s">
        <v>5</v>
      </c>
      <c r="B3" s="11"/>
      <c r="C3" s="14"/>
      <c r="D3" s="13"/>
      <c r="E3" s="14"/>
      <c r="F3" s="13"/>
      <c r="G3" s="14"/>
      <c r="H3" s="13"/>
      <c r="I3" s="14"/>
      <c r="J3" s="13"/>
      <c r="K3" s="14"/>
      <c r="L3" s="1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9"/>
      <c r="AA3" s="9"/>
      <c r="AB3" s="119"/>
      <c r="AC3" s="119"/>
      <c r="AD3" s="119"/>
    </row>
    <row r="4" ht="43.5" customHeight="1">
      <c r="A4" s="15" t="s">
        <v>6</v>
      </c>
      <c r="B4" s="120" t="s">
        <v>7</v>
      </c>
      <c r="C4" s="121" t="str">
        <f>CHAIR!C4</f>
        <v>Jhonrey A. Cañete</v>
      </c>
      <c r="D4" s="18" t="s">
        <v>9</v>
      </c>
      <c r="E4" s="33" t="str">
        <f>CHAIR!E4</f>
        <v/>
      </c>
      <c r="F4" s="21" t="s">
        <v>9</v>
      </c>
      <c r="G4" s="33" t="str">
        <f>CHAIR!#REF!</f>
        <v>#ERROR!</v>
      </c>
      <c r="H4" s="21" t="s">
        <v>9</v>
      </c>
      <c r="I4" s="33" t="str">
        <f>CHAIR!#REF!</f>
        <v>#ERROR!</v>
      </c>
      <c r="J4" s="21" t="s">
        <v>9</v>
      </c>
      <c r="K4" s="33" t="str">
        <f>CHAIR!#REF!</f>
        <v>#ERROR!</v>
      </c>
      <c r="L4" s="21" t="s">
        <v>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9"/>
      <c r="AA4" s="9"/>
      <c r="AB4" s="119"/>
      <c r="AC4" s="119"/>
      <c r="AD4" s="119"/>
    </row>
    <row r="5" ht="43.5" customHeight="1">
      <c r="A5" s="25" t="s">
        <v>11</v>
      </c>
      <c r="B5" s="26" t="s">
        <v>12</v>
      </c>
      <c r="C5" s="37">
        <v>4.0</v>
      </c>
      <c r="D5" s="26"/>
      <c r="E5" s="32"/>
      <c r="F5" s="26"/>
      <c r="G5" s="32"/>
      <c r="H5" s="26"/>
      <c r="I5" s="32"/>
      <c r="J5" s="26"/>
      <c r="K5" s="32"/>
      <c r="L5" s="26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9"/>
      <c r="AA5" s="9"/>
      <c r="AB5" s="119"/>
      <c r="AC5" s="119"/>
      <c r="AD5" s="119"/>
    </row>
    <row r="6" ht="43.5" customHeight="1">
      <c r="A6" s="25" t="s">
        <v>13</v>
      </c>
      <c r="B6" s="26" t="s">
        <v>14</v>
      </c>
      <c r="C6" s="37">
        <v>4.0</v>
      </c>
      <c r="D6" s="26"/>
      <c r="E6" s="32"/>
      <c r="F6" s="26"/>
      <c r="G6" s="32"/>
      <c r="H6" s="26"/>
      <c r="I6" s="32"/>
      <c r="J6" s="26"/>
      <c r="K6" s="32"/>
      <c r="L6" s="2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</row>
    <row r="7" ht="43.5" customHeight="1">
      <c r="A7" s="41" t="s">
        <v>17</v>
      </c>
      <c r="B7" s="42"/>
      <c r="C7" s="39">
        <f>SUM(C5:C6)</f>
        <v>8</v>
      </c>
      <c r="D7" s="39"/>
      <c r="E7" s="39">
        <f>SUM(E5:E6)</f>
        <v>0</v>
      </c>
      <c r="F7" s="39"/>
      <c r="G7" s="39">
        <f>SUM(G5:G6)</f>
        <v>0</v>
      </c>
      <c r="H7" s="39"/>
      <c r="I7" s="39">
        <f>SUM(I5:I6)</f>
        <v>0</v>
      </c>
      <c r="J7" s="39"/>
      <c r="K7" s="39">
        <f>SUM(K5:K6)</f>
        <v>0</v>
      </c>
      <c r="L7" s="39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9"/>
      <c r="Y7" s="9"/>
      <c r="Z7" s="9"/>
      <c r="AA7" s="9"/>
    </row>
    <row r="8" ht="43.5" customHeight="1">
      <c r="A8" s="15" t="s">
        <v>16</v>
      </c>
      <c r="B8" s="120" t="s">
        <v>7</v>
      </c>
      <c r="C8" s="121" t="str">
        <f>CHAIR!C8</f>
        <v>Jhonrey A. Cañete</v>
      </c>
      <c r="D8" s="21" t="s">
        <v>9</v>
      </c>
      <c r="E8" s="21" t="str">
        <f>E4</f>
        <v/>
      </c>
      <c r="F8" s="21" t="s">
        <v>9</v>
      </c>
      <c r="G8" s="21" t="str">
        <f>G4</f>
        <v>#ERROR!</v>
      </c>
      <c r="H8" s="21" t="s">
        <v>9</v>
      </c>
      <c r="I8" s="21" t="str">
        <f>I4</f>
        <v>#ERROR!</v>
      </c>
      <c r="J8" s="21" t="s">
        <v>9</v>
      </c>
      <c r="K8" s="21" t="str">
        <f>K4</f>
        <v>#ERROR!</v>
      </c>
      <c r="L8" s="21" t="s">
        <v>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9"/>
      <c r="AA8" s="9"/>
    </row>
    <row r="9" ht="43.5" customHeight="1">
      <c r="A9" s="26" t="s">
        <v>83</v>
      </c>
      <c r="B9" s="26" t="s">
        <v>19</v>
      </c>
      <c r="C9" s="37">
        <v>5.0</v>
      </c>
      <c r="D9" s="26"/>
      <c r="E9" s="32"/>
      <c r="F9" s="26"/>
      <c r="G9" s="32"/>
      <c r="H9" s="26"/>
      <c r="I9" s="32"/>
      <c r="J9" s="26"/>
      <c r="K9" s="32"/>
      <c r="L9" s="26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9"/>
      <c r="AA9" s="9"/>
    </row>
    <row r="10" ht="43.5" customHeight="1">
      <c r="A10" s="41" t="s">
        <v>17</v>
      </c>
      <c r="B10" s="42"/>
      <c r="C10" s="39">
        <f>SUM(C9)</f>
        <v>5</v>
      </c>
      <c r="D10" s="39"/>
      <c r="E10" s="39"/>
      <c r="F10" s="39"/>
      <c r="G10" s="39">
        <f>SUM(G9)</f>
        <v>0</v>
      </c>
      <c r="H10" s="39"/>
      <c r="I10" s="39">
        <f>SUM(I9)</f>
        <v>0</v>
      </c>
      <c r="J10" s="39"/>
      <c r="K10" s="39">
        <f>SUM(K9)</f>
        <v>0</v>
      </c>
      <c r="L10" s="39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9"/>
      <c r="Y10" s="9"/>
      <c r="Z10" s="9"/>
      <c r="AA10" s="9"/>
    </row>
    <row r="11" ht="43.5" customHeight="1">
      <c r="A11" s="43" t="s">
        <v>20</v>
      </c>
      <c r="B11" s="120" t="s">
        <v>7</v>
      </c>
      <c r="C11" s="21" t="str">
        <f>C4</f>
        <v>Jhonrey A. Cañete</v>
      </c>
      <c r="D11" s="21" t="s">
        <v>9</v>
      </c>
      <c r="E11" s="21" t="str">
        <f>E4</f>
        <v/>
      </c>
      <c r="F11" s="21" t="s">
        <v>9</v>
      </c>
      <c r="G11" s="21" t="str">
        <f>G4</f>
        <v>#ERROR!</v>
      </c>
      <c r="H11" s="21" t="s">
        <v>9</v>
      </c>
      <c r="I11" s="21" t="str">
        <f>I4</f>
        <v>#ERROR!</v>
      </c>
      <c r="J11" s="21" t="s">
        <v>9</v>
      </c>
      <c r="K11" s="21" t="str">
        <f>K4</f>
        <v>#ERROR!</v>
      </c>
      <c r="L11" s="21" t="s">
        <v>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9"/>
      <c r="AA11" s="9"/>
    </row>
    <row r="12" ht="43.5" customHeight="1">
      <c r="A12" s="44" t="s">
        <v>84</v>
      </c>
      <c r="B12" s="44" t="s">
        <v>85</v>
      </c>
      <c r="C12" s="53">
        <v>4.0</v>
      </c>
      <c r="D12" s="55" t="s">
        <v>86</v>
      </c>
      <c r="E12" s="47"/>
      <c r="F12" s="46"/>
      <c r="G12" s="47"/>
      <c r="H12" s="46"/>
      <c r="I12" s="47"/>
      <c r="J12" s="46"/>
      <c r="K12" s="47"/>
      <c r="L12" s="46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9"/>
      <c r="AA12" s="9"/>
    </row>
    <row r="13" ht="43.5" customHeight="1">
      <c r="A13" s="44" t="s">
        <v>87</v>
      </c>
      <c r="B13" s="44" t="s">
        <v>24</v>
      </c>
      <c r="C13" s="53">
        <v>5.0</v>
      </c>
      <c r="D13" s="55" t="s">
        <v>88</v>
      </c>
      <c r="E13" s="47"/>
      <c r="F13" s="46"/>
      <c r="G13" s="47"/>
      <c r="H13" s="46"/>
      <c r="I13" s="47"/>
      <c r="J13" s="46"/>
      <c r="K13" s="47"/>
      <c r="L13" s="46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9"/>
      <c r="AA13" s="9"/>
    </row>
    <row r="14" ht="43.5" customHeight="1">
      <c r="A14" s="26" t="s">
        <v>89</v>
      </c>
      <c r="B14" s="26" t="s">
        <v>26</v>
      </c>
      <c r="C14" s="37">
        <v>5.0</v>
      </c>
      <c r="D14" s="122" t="s">
        <v>90</v>
      </c>
      <c r="E14" s="32"/>
      <c r="F14" s="26"/>
      <c r="G14" s="32"/>
      <c r="H14" s="26"/>
      <c r="I14" s="32"/>
      <c r="J14" s="26"/>
      <c r="K14" s="32"/>
      <c r="L14" s="26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9"/>
      <c r="AA14" s="9"/>
    </row>
    <row r="15" ht="43.5" customHeight="1">
      <c r="A15" s="41" t="s">
        <v>17</v>
      </c>
      <c r="B15" s="42"/>
      <c r="C15" s="39">
        <f>SUM(C12:C14)</f>
        <v>14</v>
      </c>
      <c r="D15" s="39"/>
      <c r="E15" s="39">
        <f>SUM(E12:E14)</f>
        <v>0</v>
      </c>
      <c r="F15" s="39"/>
      <c r="G15" s="39">
        <f>SUM(G12:G14)</f>
        <v>0</v>
      </c>
      <c r="H15" s="39"/>
      <c r="I15" s="39">
        <f>SUM(I12:I14)</f>
        <v>0</v>
      </c>
      <c r="J15" s="39"/>
      <c r="K15" s="39">
        <f>SUM(K12:K14)</f>
        <v>0</v>
      </c>
      <c r="L15" s="39"/>
      <c r="M15" s="8"/>
      <c r="N15" s="8"/>
      <c r="O15" s="8"/>
      <c r="P15" s="8"/>
      <c r="Q15" s="8"/>
      <c r="R15" s="8"/>
      <c r="S15" s="8"/>
      <c r="T15" s="8"/>
      <c r="U15" s="8"/>
      <c r="V15" s="8"/>
      <c r="W15" s="9"/>
      <c r="X15" s="9"/>
      <c r="Y15" s="9"/>
      <c r="Z15" s="9"/>
      <c r="AA15" s="9"/>
    </row>
    <row r="16" ht="43.5" customHeight="1">
      <c r="A16" s="43" t="s">
        <v>28</v>
      </c>
      <c r="B16" s="120" t="s">
        <v>7</v>
      </c>
      <c r="C16" s="21" t="str">
        <f>C4</f>
        <v>Jhonrey A. Cañete</v>
      </c>
      <c r="D16" s="21" t="s">
        <v>9</v>
      </c>
      <c r="E16" s="21" t="str">
        <f>E4</f>
        <v/>
      </c>
      <c r="F16" s="21" t="s">
        <v>9</v>
      </c>
      <c r="G16" s="21" t="str">
        <f>G4</f>
        <v>#ERROR!</v>
      </c>
      <c r="H16" s="21" t="s">
        <v>9</v>
      </c>
      <c r="I16" s="21" t="str">
        <f>I4</f>
        <v>#ERROR!</v>
      </c>
      <c r="J16" s="21" t="s">
        <v>9</v>
      </c>
      <c r="K16" s="21" t="str">
        <f>K4</f>
        <v>#ERROR!</v>
      </c>
      <c r="L16" s="21" t="s">
        <v>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9"/>
      <c r="AA16" s="9"/>
    </row>
    <row r="17" ht="43.5" customHeight="1">
      <c r="A17" s="26" t="s">
        <v>91</v>
      </c>
      <c r="B17" s="26" t="s">
        <v>56</v>
      </c>
      <c r="C17" s="37">
        <v>4.0</v>
      </c>
      <c r="D17" s="26"/>
      <c r="E17" s="32"/>
      <c r="F17" s="26"/>
      <c r="G17" s="32"/>
      <c r="H17" s="26"/>
      <c r="I17" s="32"/>
      <c r="J17" s="26"/>
      <c r="K17" s="32"/>
      <c r="L17" s="26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9"/>
      <c r="AA17" s="9"/>
    </row>
    <row r="18" ht="43.5" customHeight="1">
      <c r="A18" s="26" t="s">
        <v>92</v>
      </c>
      <c r="B18" s="26" t="s">
        <v>59</v>
      </c>
      <c r="C18" s="53">
        <v>4.0</v>
      </c>
      <c r="D18" s="46"/>
      <c r="E18" s="47"/>
      <c r="F18" s="46"/>
      <c r="G18" s="47"/>
      <c r="H18" s="46"/>
      <c r="I18" s="47"/>
      <c r="J18" s="46"/>
      <c r="K18" s="47"/>
      <c r="L18" s="46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9"/>
      <c r="Z18" s="9"/>
      <c r="AA18" s="9"/>
    </row>
    <row r="19" ht="43.5" customHeight="1">
      <c r="A19" s="41" t="s">
        <v>17</v>
      </c>
      <c r="B19" s="123"/>
      <c r="C19" s="78">
        <f>SUM(C17:C18)</f>
        <v>8</v>
      </c>
      <c r="D19" s="78"/>
      <c r="E19" s="78"/>
      <c r="F19" s="78"/>
      <c r="G19" s="78">
        <f>SUM(G17:G18)</f>
        <v>0</v>
      </c>
      <c r="H19" s="78"/>
      <c r="I19" s="78">
        <f>SUM(I17:I18)</f>
        <v>0</v>
      </c>
      <c r="J19" s="78"/>
      <c r="K19" s="78">
        <f>SUM(K17:K18)</f>
        <v>0</v>
      </c>
      <c r="L19" s="7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9"/>
      <c r="Y19" s="9"/>
      <c r="Z19" s="9"/>
      <c r="AA19" s="9"/>
      <c r="AB19" s="119"/>
    </row>
    <row r="20" ht="37.5" customHeight="1">
      <c r="A20" s="100" t="s">
        <v>34</v>
      </c>
      <c r="B20" s="101"/>
      <c r="C20" s="85">
        <f>SUM(C7,C10,C15,C19)</f>
        <v>35</v>
      </c>
      <c r="D20" s="86"/>
      <c r="E20" s="85">
        <f>SUM(E7,E10,E15,E19)</f>
        <v>0</v>
      </c>
      <c r="F20" s="86"/>
      <c r="G20" s="85">
        <f>SUM(G7,G10,G15,G19)</f>
        <v>0</v>
      </c>
      <c r="H20" s="86"/>
      <c r="I20" s="85">
        <f>SUM(I7,I10,I15,I19)</f>
        <v>0</v>
      </c>
      <c r="J20" s="86"/>
      <c r="K20" s="85">
        <f>SUM(K7,K10,K15,K19)</f>
        <v>0</v>
      </c>
      <c r="L20" s="86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9"/>
      <c r="AA20" s="9"/>
      <c r="AB20" s="119"/>
    </row>
    <row r="21" ht="43.5" customHeight="1">
      <c r="A21" s="54" t="s">
        <v>38</v>
      </c>
      <c r="B21" s="56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9"/>
      <c r="AA21" s="9"/>
      <c r="AB21" s="119"/>
    </row>
    <row r="22" ht="43.5" customHeight="1">
      <c r="A22" s="58"/>
      <c r="B22" s="120" t="s">
        <v>40</v>
      </c>
      <c r="C22" s="21" t="str">
        <f>C16</f>
        <v>Jhonrey A. Cañete</v>
      </c>
      <c r="D22" s="21" t="s">
        <v>9</v>
      </c>
      <c r="E22" s="21" t="str">
        <f>E16</f>
        <v/>
      </c>
      <c r="F22" s="21" t="s">
        <v>9</v>
      </c>
      <c r="G22" s="21" t="str">
        <f>G4</f>
        <v>#ERROR!</v>
      </c>
      <c r="H22" s="21" t="s">
        <v>9</v>
      </c>
      <c r="I22" s="21" t="str">
        <f>I4</f>
        <v>#ERROR!</v>
      </c>
      <c r="J22" s="21" t="s">
        <v>9</v>
      </c>
      <c r="K22" s="21" t="str">
        <f>K4</f>
        <v>#ERROR!</v>
      </c>
      <c r="L22" s="21" t="s">
        <v>9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9"/>
      <c r="AA22" s="9"/>
      <c r="AB22" s="119"/>
    </row>
    <row r="23" ht="43.5" customHeight="1">
      <c r="A23" s="59" t="s">
        <v>43</v>
      </c>
      <c r="B23" s="44" t="s">
        <v>44</v>
      </c>
      <c r="C23" s="53">
        <v>4.0</v>
      </c>
      <c r="D23" s="46"/>
      <c r="E23" s="47"/>
      <c r="F23" s="46"/>
      <c r="G23" s="47"/>
      <c r="H23" s="46"/>
      <c r="I23" s="47"/>
      <c r="J23" s="46"/>
      <c r="K23" s="47"/>
      <c r="L23" s="4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9"/>
      <c r="AA23" s="9"/>
      <c r="AB23" s="119"/>
    </row>
    <row r="24" ht="43.5" customHeight="1">
      <c r="A24" s="59" t="s">
        <v>45</v>
      </c>
      <c r="B24" s="44" t="s">
        <v>46</v>
      </c>
      <c r="C24" s="53">
        <v>4.0</v>
      </c>
      <c r="D24" s="46"/>
      <c r="E24" s="47"/>
      <c r="F24" s="46"/>
      <c r="G24" s="47"/>
      <c r="H24" s="46"/>
      <c r="I24" s="47"/>
      <c r="J24" s="46"/>
      <c r="K24" s="47"/>
      <c r="L24" s="46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9"/>
      <c r="AA24" s="9"/>
      <c r="AB24" s="119"/>
    </row>
    <row r="25" ht="43.5" customHeight="1">
      <c r="A25" s="59" t="s">
        <v>47</v>
      </c>
      <c r="B25" s="44" t="s">
        <v>48</v>
      </c>
      <c r="C25" s="53">
        <v>4.0</v>
      </c>
      <c r="D25" s="46"/>
      <c r="E25" s="47"/>
      <c r="F25" s="46"/>
      <c r="G25" s="47"/>
      <c r="H25" s="46"/>
      <c r="I25" s="47"/>
      <c r="J25" s="46"/>
      <c r="K25" s="47"/>
      <c r="L25" s="46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9"/>
      <c r="AA25" s="9"/>
      <c r="AB25" s="119"/>
    </row>
    <row r="26" ht="43.5" customHeight="1">
      <c r="A26" s="59" t="s">
        <v>49</v>
      </c>
      <c r="B26" s="44" t="s">
        <v>50</v>
      </c>
      <c r="C26" s="53">
        <v>4.0</v>
      </c>
      <c r="D26" s="46"/>
      <c r="E26" s="47"/>
      <c r="F26" s="46"/>
      <c r="G26" s="47"/>
      <c r="H26" s="46"/>
      <c r="I26" s="47"/>
      <c r="J26" s="46"/>
      <c r="K26" s="47"/>
      <c r="L26" s="46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9"/>
      <c r="AA26" s="9"/>
      <c r="AB26" s="119"/>
    </row>
    <row r="27" ht="43.5" customHeight="1">
      <c r="A27" s="25" t="s">
        <v>51</v>
      </c>
      <c r="B27" s="26" t="s">
        <v>52</v>
      </c>
      <c r="C27" s="37">
        <v>5.0</v>
      </c>
      <c r="D27" s="26"/>
      <c r="E27" s="32"/>
      <c r="F27" s="26"/>
      <c r="G27" s="32"/>
      <c r="H27" s="26"/>
      <c r="I27" s="32"/>
      <c r="J27" s="26"/>
      <c r="K27" s="32"/>
      <c r="L27" s="26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9"/>
      <c r="AA27" s="9"/>
      <c r="AB27" s="119"/>
    </row>
    <row r="28" ht="43.5" customHeight="1">
      <c r="A28" s="100" t="s">
        <v>34</v>
      </c>
      <c r="B28" s="101"/>
      <c r="C28" s="66">
        <f>SUM(C23:C27)</f>
        <v>21</v>
      </c>
      <c r="D28" s="66"/>
      <c r="E28" s="66">
        <f>SUM(E23:E27)</f>
        <v>0</v>
      </c>
      <c r="F28" s="66"/>
      <c r="G28" s="66">
        <f>SUM(G23:G27)</f>
        <v>0</v>
      </c>
      <c r="H28" s="66"/>
      <c r="I28" s="66">
        <f>SUM(I23:I27)</f>
        <v>0</v>
      </c>
      <c r="J28" s="66"/>
      <c r="K28" s="66">
        <f>SUM(K23:K27)</f>
        <v>0</v>
      </c>
      <c r="L28" s="66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9"/>
      <c r="Y28" s="9"/>
      <c r="Z28" s="9"/>
      <c r="AA28" s="9"/>
      <c r="AB28" s="119"/>
    </row>
    <row r="29" ht="43.5" customHeight="1">
      <c r="A29" s="54" t="s">
        <v>55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9"/>
      <c r="AA29" s="9"/>
      <c r="AB29" s="119"/>
    </row>
    <row r="30" ht="43.5" customHeight="1">
      <c r="A30" s="67"/>
      <c r="B30" s="120" t="s">
        <v>57</v>
      </c>
      <c r="C30" s="69" t="str">
        <f>C4</f>
        <v>Jhonrey A. Cañete</v>
      </c>
      <c r="D30" s="69" t="s">
        <v>9</v>
      </c>
      <c r="E30" s="69" t="str">
        <f>E22</f>
        <v/>
      </c>
      <c r="F30" s="69" t="s">
        <v>9</v>
      </c>
      <c r="G30" s="69" t="str">
        <f>G22</f>
        <v>#ERROR!</v>
      </c>
      <c r="H30" s="69" t="s">
        <v>9</v>
      </c>
      <c r="I30" s="69" t="str">
        <f>I22</f>
        <v>#ERROR!</v>
      </c>
      <c r="J30" s="69" t="s">
        <v>9</v>
      </c>
      <c r="K30" s="69" t="str">
        <f>K22</f>
        <v>#ERROR!</v>
      </c>
      <c r="L30" s="69" t="s">
        <v>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  <c r="Z30" s="5"/>
      <c r="AA30" s="5"/>
      <c r="AB30" s="119"/>
    </row>
    <row r="31" ht="43.5" customHeight="1">
      <c r="A31" s="70" t="s">
        <v>61</v>
      </c>
      <c r="B31" s="71" t="s">
        <v>62</v>
      </c>
      <c r="C31" s="106">
        <v>5.0</v>
      </c>
      <c r="D31" s="75"/>
      <c r="E31" s="75"/>
      <c r="F31" s="75"/>
      <c r="G31" s="75"/>
      <c r="H31" s="75"/>
      <c r="I31" s="75"/>
      <c r="J31" s="75"/>
      <c r="K31" s="75"/>
      <c r="L31" s="75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5"/>
      <c r="AA31" s="5"/>
      <c r="AB31" s="119"/>
    </row>
    <row r="32" ht="43.5" customHeight="1">
      <c r="A32" s="70" t="s">
        <v>63</v>
      </c>
      <c r="B32" s="71" t="s">
        <v>62</v>
      </c>
      <c r="C32" s="106">
        <v>4.0</v>
      </c>
      <c r="D32" s="75"/>
      <c r="E32" s="75"/>
      <c r="F32" s="75"/>
      <c r="G32" s="75"/>
      <c r="H32" s="75"/>
      <c r="I32" s="75"/>
      <c r="J32" s="75"/>
      <c r="K32" s="75"/>
      <c r="L32" s="75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5"/>
      <c r="AA32" s="5"/>
    </row>
    <row r="33" ht="43.5" customHeight="1">
      <c r="A33" s="70" t="s">
        <v>78</v>
      </c>
      <c r="B33" s="71" t="s">
        <v>62</v>
      </c>
      <c r="C33" s="106">
        <v>4.0</v>
      </c>
      <c r="D33" s="75"/>
      <c r="E33" s="75"/>
      <c r="F33" s="75"/>
      <c r="G33" s="75"/>
      <c r="H33" s="75"/>
      <c r="I33" s="75"/>
      <c r="J33" s="75"/>
      <c r="K33" s="75"/>
      <c r="L33" s="75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5"/>
      <c r="AA33" s="5"/>
    </row>
    <row r="34" ht="43.5" customHeight="1">
      <c r="A34" s="70" t="s">
        <v>65</v>
      </c>
      <c r="B34" s="71" t="s">
        <v>66</v>
      </c>
      <c r="C34" s="106">
        <v>8.0</v>
      </c>
      <c r="D34" s="75"/>
      <c r="E34" s="75"/>
      <c r="F34" s="75"/>
      <c r="G34" s="75"/>
      <c r="H34" s="75"/>
      <c r="I34" s="75"/>
      <c r="J34" s="75"/>
      <c r="K34" s="75"/>
      <c r="L34" s="75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5"/>
      <c r="AA34" s="5"/>
    </row>
    <row r="35" ht="43.5" customHeight="1">
      <c r="A35" s="70" t="s">
        <v>79</v>
      </c>
      <c r="B35" s="71" t="s">
        <v>66</v>
      </c>
      <c r="C35" s="106">
        <v>8.0</v>
      </c>
      <c r="D35" s="75"/>
      <c r="E35" s="75"/>
      <c r="F35" s="75"/>
      <c r="G35" s="75"/>
      <c r="H35" s="75"/>
      <c r="I35" s="75"/>
      <c r="J35" s="75"/>
      <c r="K35" s="75"/>
      <c r="L35" s="75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5"/>
      <c r="AA35" s="5"/>
    </row>
    <row r="36" ht="43.5" customHeight="1">
      <c r="A36" s="70" t="s">
        <v>80</v>
      </c>
      <c r="B36" s="71" t="s">
        <v>66</v>
      </c>
      <c r="C36" s="124">
        <v>7.0</v>
      </c>
      <c r="D36" s="79"/>
      <c r="E36" s="125"/>
      <c r="F36" s="79"/>
      <c r="G36" s="125"/>
      <c r="H36" s="79"/>
      <c r="I36" s="125"/>
      <c r="J36" s="79"/>
      <c r="K36" s="125"/>
      <c r="L36" s="79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9"/>
      <c r="Z36" s="9"/>
      <c r="AA36" s="9"/>
    </row>
    <row r="37" ht="43.5" customHeight="1">
      <c r="A37" s="126" t="s">
        <v>69</v>
      </c>
      <c r="B37" s="71" t="s">
        <v>62</v>
      </c>
      <c r="C37" s="106">
        <v>4.0</v>
      </c>
      <c r="D37" s="79"/>
      <c r="E37" s="75"/>
      <c r="F37" s="79"/>
      <c r="G37" s="75"/>
      <c r="H37" s="79"/>
      <c r="I37" s="75"/>
      <c r="J37" s="79"/>
      <c r="K37" s="75"/>
      <c r="L37" s="79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9"/>
      <c r="Z37" s="9"/>
      <c r="AA37" s="9"/>
    </row>
    <row r="38" ht="43.5" customHeight="1">
      <c r="A38" s="126" t="s">
        <v>70</v>
      </c>
      <c r="B38" s="71" t="s">
        <v>62</v>
      </c>
      <c r="C38" s="106">
        <v>4.0</v>
      </c>
      <c r="D38" s="79"/>
      <c r="E38" s="75"/>
      <c r="F38" s="79"/>
      <c r="G38" s="75"/>
      <c r="H38" s="79"/>
      <c r="I38" s="75"/>
      <c r="J38" s="79"/>
      <c r="K38" s="75"/>
      <c r="L38" s="79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9"/>
      <c r="Z38" s="9"/>
      <c r="AA38" s="9"/>
    </row>
    <row r="39" ht="43.5" customHeight="1">
      <c r="A39" s="126" t="s">
        <v>81</v>
      </c>
      <c r="B39" s="71" t="s">
        <v>66</v>
      </c>
      <c r="C39" s="124">
        <v>8.0</v>
      </c>
      <c r="D39" s="79"/>
      <c r="E39" s="125"/>
      <c r="F39" s="79"/>
      <c r="G39" s="125"/>
      <c r="H39" s="79"/>
      <c r="I39" s="125"/>
      <c r="J39" s="79"/>
      <c r="K39" s="125"/>
      <c r="L39" s="79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9"/>
      <c r="Z39" s="9"/>
      <c r="AA39" s="9"/>
    </row>
    <row r="40" ht="43.5" customHeight="1">
      <c r="A40" s="126" t="s">
        <v>72</v>
      </c>
      <c r="B40" s="71" t="s">
        <v>62</v>
      </c>
      <c r="C40" s="106">
        <v>4.0</v>
      </c>
      <c r="D40" s="79"/>
      <c r="E40" s="75"/>
      <c r="F40" s="79"/>
      <c r="G40" s="75"/>
      <c r="H40" s="79"/>
      <c r="I40" s="75"/>
      <c r="J40" s="79"/>
      <c r="K40" s="75"/>
      <c r="L40" s="79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9"/>
      <c r="Z40" s="9"/>
      <c r="AA40" s="9"/>
    </row>
    <row r="41" ht="43.5" customHeight="1">
      <c r="A41" s="126" t="s">
        <v>73</v>
      </c>
      <c r="B41" s="71" t="s">
        <v>62</v>
      </c>
      <c r="C41" s="106">
        <v>4.0</v>
      </c>
      <c r="D41" s="79"/>
      <c r="E41" s="75"/>
      <c r="F41" s="79"/>
      <c r="G41" s="75"/>
      <c r="H41" s="79"/>
      <c r="I41" s="75"/>
      <c r="J41" s="79"/>
      <c r="K41" s="75"/>
      <c r="L41" s="79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9"/>
      <c r="Z41" s="9"/>
      <c r="AA41" s="9"/>
    </row>
    <row r="42" ht="43.5" customHeight="1">
      <c r="A42" s="126" t="s">
        <v>74</v>
      </c>
      <c r="B42" s="71" t="s">
        <v>62</v>
      </c>
      <c r="C42" s="106">
        <v>5.0</v>
      </c>
      <c r="D42" s="79"/>
      <c r="E42" s="75"/>
      <c r="F42" s="79"/>
      <c r="G42" s="75"/>
      <c r="H42" s="79"/>
      <c r="I42" s="75"/>
      <c r="J42" s="79"/>
      <c r="K42" s="75"/>
      <c r="L42" s="79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9"/>
      <c r="Z42" s="9"/>
      <c r="AA42" s="9"/>
    </row>
    <row r="43" ht="43.5" customHeight="1">
      <c r="A43" s="35"/>
      <c r="B43" s="36" t="s">
        <v>34</v>
      </c>
      <c r="C43" s="39">
        <f>SUM(C31:C42)</f>
        <v>65</v>
      </c>
      <c r="D43" s="39"/>
      <c r="E43" s="39">
        <f>SUM(E31:E42)</f>
        <v>0</v>
      </c>
      <c r="F43" s="39"/>
      <c r="G43" s="39">
        <f>SUM(G31:G42)</f>
        <v>0</v>
      </c>
      <c r="H43" s="39"/>
      <c r="I43" s="39">
        <f>SUM(I31:I42)</f>
        <v>0</v>
      </c>
      <c r="J43" s="39"/>
      <c r="K43" s="39">
        <f>SUM(K31:K42)</f>
        <v>0</v>
      </c>
      <c r="L43" s="39"/>
      <c r="M43" s="8"/>
      <c r="N43" s="8"/>
      <c r="O43" s="8"/>
      <c r="P43" s="8"/>
      <c r="Q43" s="8"/>
      <c r="R43" s="8"/>
      <c r="S43" s="8"/>
      <c r="T43" s="8"/>
      <c r="U43" s="8"/>
      <c r="V43" s="8"/>
      <c r="W43" s="9"/>
      <c r="X43" s="9"/>
      <c r="Y43" s="9"/>
      <c r="Z43" s="9"/>
      <c r="AA43" s="9"/>
    </row>
    <row r="44" ht="43.5" customHeight="1">
      <c r="A44" s="6"/>
      <c r="B44" s="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"/>
      <c r="Z44" s="9"/>
      <c r="AA44" s="9"/>
    </row>
    <row r="45" ht="43.5" customHeight="1">
      <c r="A45" s="6"/>
      <c r="B45" s="6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9"/>
      <c r="Z45" s="9"/>
      <c r="AA45" s="9"/>
    </row>
    <row r="46" ht="43.5" customHeight="1">
      <c r="A46" s="6"/>
      <c r="B46" s="6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  <c r="Z46" s="9"/>
      <c r="AA46" s="9"/>
    </row>
    <row r="47" ht="43.5" customHeight="1">
      <c r="A47" s="6"/>
      <c r="B47" s="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"/>
      <c r="Z47" s="9"/>
      <c r="AA47" s="9"/>
    </row>
    <row r="48" ht="43.5" customHeight="1">
      <c r="A48" s="6"/>
      <c r="B48" s="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"/>
      <c r="Z48" s="9"/>
      <c r="AA48" s="9"/>
    </row>
    <row r="49" ht="43.5" customHeight="1">
      <c r="A49" s="6"/>
      <c r="B49" s="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"/>
      <c r="Z49" s="9"/>
      <c r="AA49" s="9"/>
    </row>
    <row r="50" ht="43.5" customHeight="1">
      <c r="A50" s="6"/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"/>
      <c r="Z50" s="9"/>
      <c r="AA50" s="9"/>
    </row>
    <row r="51" ht="43.5" customHeight="1">
      <c r="A51" s="6"/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"/>
      <c r="Z51" s="9"/>
      <c r="AA51" s="9"/>
    </row>
    <row r="52" ht="43.5" customHeight="1">
      <c r="A52" s="6"/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  <c r="Z52" s="9"/>
      <c r="AA52" s="9"/>
    </row>
    <row r="53" ht="43.5" customHeight="1">
      <c r="A53" s="6"/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  <c r="Z53" s="9"/>
      <c r="AA53" s="9"/>
    </row>
    <row r="54" ht="43.5" customHeight="1">
      <c r="A54" s="6"/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"/>
      <c r="Z54" s="9"/>
      <c r="AA54" s="9"/>
    </row>
    <row r="55" ht="43.5" customHeight="1">
      <c r="A55" s="6"/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"/>
      <c r="Z55" s="9"/>
      <c r="AA55" s="9"/>
    </row>
    <row r="56" ht="43.5" customHeight="1">
      <c r="A56" s="6"/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9"/>
      <c r="AA56" s="9"/>
    </row>
    <row r="57" ht="43.5" customHeight="1">
      <c r="A57" s="6"/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  <c r="Z57" s="9"/>
      <c r="AA57" s="9"/>
    </row>
    <row r="58" ht="43.5" customHeight="1">
      <c r="A58" s="6"/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9"/>
      <c r="AA58" s="9"/>
    </row>
    <row r="59" ht="43.5" customHeight="1">
      <c r="A59" s="6"/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9"/>
      <c r="AA59" s="9"/>
    </row>
    <row r="60" ht="43.5" customHeight="1">
      <c r="A60" s="6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9"/>
      <c r="AA60" s="9"/>
    </row>
    <row r="61" ht="43.5" customHeight="1">
      <c r="A61" s="6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9"/>
      <c r="AA61" s="9"/>
    </row>
    <row r="62" ht="43.5" customHeight="1">
      <c r="A62" s="6"/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9"/>
      <c r="AA62" s="9"/>
    </row>
    <row r="63" ht="43.5" customHeight="1">
      <c r="A63" s="6"/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9"/>
      <c r="AA63" s="9"/>
    </row>
    <row r="64" ht="43.5" customHeight="1">
      <c r="A64" s="6"/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9"/>
      <c r="AA64" s="9"/>
    </row>
    <row r="65" ht="43.5" customHeight="1">
      <c r="A65" s="6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"/>
      <c r="Z65" s="9"/>
      <c r="AA65" s="9"/>
    </row>
    <row r="66" ht="43.5" customHeight="1">
      <c r="A66" s="6"/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9"/>
      <c r="AA66" s="9"/>
    </row>
    <row r="67" ht="43.5" customHeight="1">
      <c r="A67" s="6"/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9"/>
      <c r="AA67" s="9"/>
    </row>
    <row r="68" ht="43.5" customHeight="1">
      <c r="A68" s="6"/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9"/>
      <c r="AA68" s="9"/>
    </row>
    <row r="69" ht="43.5" customHeight="1">
      <c r="A69" s="6"/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  <c r="Z69" s="9"/>
      <c r="AA69" s="9"/>
    </row>
    <row r="70" ht="43.5" customHeight="1">
      <c r="A70" s="6"/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9"/>
      <c r="AA70" s="9"/>
    </row>
    <row r="71" ht="43.5" customHeight="1">
      <c r="A71" s="6"/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9"/>
      <c r="AA71" s="9"/>
    </row>
    <row r="72" ht="43.5" customHeight="1">
      <c r="A72" s="6"/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9"/>
      <c r="AA72" s="9"/>
    </row>
    <row r="73" ht="43.5" customHeight="1">
      <c r="A73" s="6"/>
      <c r="B73" s="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  <c r="Z73" s="9"/>
      <c r="AA73" s="9"/>
    </row>
    <row r="74" ht="43.5" customHeight="1">
      <c r="A74" s="6"/>
      <c r="B74" s="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9"/>
      <c r="AA74" s="9"/>
    </row>
    <row r="75" ht="43.5" customHeight="1">
      <c r="A75" s="6"/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9"/>
      <c r="AA75" s="9"/>
    </row>
    <row r="76" ht="43.5" customHeight="1">
      <c r="A76" s="6"/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9"/>
      <c r="AA76" s="9"/>
    </row>
    <row r="77" ht="43.5" customHeight="1">
      <c r="A77" s="6"/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9"/>
      <c r="AA77" s="9"/>
    </row>
    <row r="78" ht="43.5" customHeight="1">
      <c r="A78" s="6"/>
      <c r="B78" s="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9"/>
      <c r="AA78" s="9"/>
    </row>
    <row r="79" ht="43.5" customHeight="1">
      <c r="A79" s="6"/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9"/>
      <c r="AA79" s="9"/>
    </row>
    <row r="80" ht="43.5" customHeight="1">
      <c r="A80" s="6"/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9"/>
      <c r="AA80" s="9"/>
    </row>
    <row r="81" ht="43.5" customHeight="1">
      <c r="A81" s="6"/>
      <c r="B81" s="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9"/>
      <c r="AA81" s="9"/>
    </row>
    <row r="82" ht="43.5" customHeight="1">
      <c r="A82" s="6"/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9"/>
      <c r="AA82" s="9"/>
    </row>
    <row r="83" ht="43.5" customHeight="1">
      <c r="A83" s="6"/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9"/>
      <c r="AA83" s="9"/>
    </row>
    <row r="84" ht="43.5" customHeight="1">
      <c r="A84" s="6"/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9"/>
      <c r="AA84" s="9"/>
    </row>
    <row r="85" ht="43.5" customHeight="1">
      <c r="A85" s="6"/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9"/>
      <c r="AA85" s="9"/>
    </row>
    <row r="86" ht="43.5" customHeight="1">
      <c r="A86" s="6"/>
      <c r="B86" s="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9"/>
      <c r="AA86" s="9"/>
    </row>
    <row r="87" ht="43.5" customHeight="1">
      <c r="A87" s="6"/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9"/>
      <c r="AA87" s="9"/>
    </row>
    <row r="88" ht="43.5" customHeight="1">
      <c r="A88" s="6"/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9"/>
      <c r="AA88" s="9"/>
    </row>
    <row r="89" ht="43.5" customHeight="1">
      <c r="A89" s="6"/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9"/>
      <c r="AA89" s="9"/>
    </row>
    <row r="90" ht="43.5" customHeight="1">
      <c r="A90" s="6"/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9"/>
      <c r="AA90" s="9"/>
    </row>
    <row r="91" ht="43.5" customHeight="1">
      <c r="A91" s="6"/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9"/>
      <c r="AA91" s="9"/>
    </row>
    <row r="92" ht="43.5" customHeight="1">
      <c r="A92" s="6"/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9"/>
      <c r="AA92" s="9"/>
    </row>
    <row r="93" ht="43.5" customHeight="1">
      <c r="A93" s="6"/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  <c r="Z93" s="9"/>
      <c r="AA93" s="9"/>
    </row>
    <row r="94" ht="43.5" customHeight="1">
      <c r="A94" s="6"/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9"/>
      <c r="AA94" s="9"/>
    </row>
    <row r="95" ht="43.5" customHeight="1">
      <c r="A95" s="6"/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9"/>
      <c r="AA95" s="9"/>
    </row>
    <row r="96" ht="43.5" customHeight="1">
      <c r="A96" s="6"/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9"/>
      <c r="AA96" s="9"/>
    </row>
    <row r="97" ht="43.5" customHeight="1">
      <c r="A97" s="6"/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9"/>
      <c r="AA97" s="9"/>
    </row>
    <row r="98" ht="43.5" customHeight="1">
      <c r="A98" s="6"/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9"/>
      <c r="AA98" s="9"/>
    </row>
    <row r="99" ht="43.5" customHeight="1">
      <c r="A99" s="6"/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9"/>
      <c r="AA99" s="9"/>
    </row>
    <row r="100" ht="43.5" customHeight="1">
      <c r="A100" s="6"/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9"/>
      <c r="AA100" s="9"/>
    </row>
    <row r="101" ht="43.5" customHeight="1">
      <c r="A101" s="6"/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9"/>
      <c r="AA101" s="9"/>
    </row>
    <row r="102" ht="43.5" customHeight="1">
      <c r="A102" s="6"/>
      <c r="B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9"/>
      <c r="AA102" s="9"/>
    </row>
    <row r="103" ht="43.5" customHeight="1">
      <c r="A103" s="6"/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9"/>
      <c r="AA103" s="9"/>
    </row>
    <row r="104" ht="43.5" customHeight="1">
      <c r="A104" s="6"/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9"/>
      <c r="AA104" s="9"/>
    </row>
    <row r="105" ht="43.5" customHeight="1">
      <c r="A105" s="6"/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9"/>
      <c r="AA105" s="9"/>
    </row>
    <row r="106" ht="43.5" customHeight="1">
      <c r="A106" s="6"/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9"/>
      <c r="AA106" s="9"/>
    </row>
    <row r="107" ht="43.5" customHeight="1">
      <c r="A107" s="6"/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9"/>
      <c r="AA107" s="9"/>
    </row>
    <row r="108" ht="43.5" customHeight="1">
      <c r="A108" s="6"/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"/>
      <c r="Z108" s="9"/>
      <c r="AA108" s="9"/>
    </row>
    <row r="109" ht="43.5" customHeight="1">
      <c r="A109" s="6"/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9"/>
      <c r="AA109" s="9"/>
    </row>
    <row r="110" ht="43.5" customHeight="1">
      <c r="A110" s="6"/>
      <c r="B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9"/>
      <c r="AA110" s="9"/>
    </row>
    <row r="111" ht="43.5" customHeight="1">
      <c r="A111" s="6"/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9"/>
      <c r="AA111" s="9"/>
    </row>
    <row r="112" ht="43.5" customHeight="1">
      <c r="A112" s="6"/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9"/>
      <c r="AA112" s="9"/>
    </row>
    <row r="113" ht="43.5" customHeight="1">
      <c r="A113" s="6"/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9"/>
      <c r="AA113" s="9"/>
    </row>
    <row r="114" ht="43.5" customHeight="1">
      <c r="A114" s="6"/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9"/>
      <c r="AA114" s="9"/>
    </row>
    <row r="115" ht="43.5" customHeight="1">
      <c r="A115" s="6"/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"/>
      <c r="Z115" s="9"/>
      <c r="AA115" s="9"/>
    </row>
    <row r="116" ht="43.5" customHeight="1">
      <c r="A116" s="6"/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9"/>
      <c r="AA116" s="9"/>
    </row>
    <row r="117" ht="43.5" customHeight="1">
      <c r="A117" s="6"/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9"/>
      <c r="AA117" s="9"/>
    </row>
    <row r="118" ht="43.5" customHeight="1">
      <c r="A118" s="6"/>
      <c r="B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9"/>
      <c r="AA118" s="9"/>
    </row>
    <row r="119" ht="43.5" customHeight="1">
      <c r="A119" s="6"/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9"/>
      <c r="AA119" s="9"/>
    </row>
    <row r="120" ht="43.5" customHeight="1">
      <c r="A120" s="6"/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9"/>
      <c r="AA120" s="9"/>
    </row>
    <row r="121" ht="43.5" customHeight="1">
      <c r="A121" s="6"/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"/>
      <c r="Z121" s="9"/>
      <c r="AA121" s="9"/>
    </row>
    <row r="122" ht="43.5" customHeight="1">
      <c r="A122" s="6"/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9"/>
      <c r="AA122" s="9"/>
    </row>
    <row r="123" ht="43.5" customHeight="1">
      <c r="A123" s="6"/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9"/>
      <c r="AA123" s="9"/>
    </row>
    <row r="124" ht="43.5" customHeight="1">
      <c r="A124" s="6"/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9"/>
      <c r="AA124" s="9"/>
    </row>
    <row r="125" ht="43.5" customHeight="1">
      <c r="A125" s="6"/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9"/>
      <c r="AA125" s="9"/>
    </row>
    <row r="126" ht="43.5" customHeight="1">
      <c r="A126" s="6"/>
      <c r="B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9"/>
      <c r="AA126" s="9"/>
    </row>
    <row r="127" ht="43.5" customHeight="1">
      <c r="A127" s="6"/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9"/>
      <c r="AA127" s="9"/>
    </row>
    <row r="128" ht="43.5" customHeight="1">
      <c r="A128" s="6"/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9"/>
      <c r="AA128" s="9"/>
    </row>
    <row r="129" ht="43.5" customHeight="1">
      <c r="A129" s="6"/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9"/>
      <c r="Z129" s="9"/>
      <c r="AA129" s="9"/>
    </row>
    <row r="130" ht="43.5" customHeight="1">
      <c r="A130" s="6"/>
      <c r="B130" s="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9"/>
      <c r="AA130" s="9"/>
    </row>
    <row r="131" ht="43.5" customHeight="1">
      <c r="A131" s="6"/>
      <c r="B131" s="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9"/>
      <c r="AA131" s="9"/>
    </row>
    <row r="132" ht="43.5" customHeight="1">
      <c r="A132" s="6"/>
      <c r="B132" s="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9"/>
      <c r="AA132" s="9"/>
    </row>
    <row r="133" ht="43.5" customHeight="1">
      <c r="A133" s="6"/>
      <c r="B133" s="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"/>
      <c r="Z133" s="9"/>
      <c r="AA133" s="9"/>
    </row>
    <row r="134" ht="43.5" customHeight="1">
      <c r="A134" s="6"/>
      <c r="B134" s="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9"/>
      <c r="AA134" s="9"/>
    </row>
    <row r="135" ht="43.5" customHeight="1">
      <c r="A135" s="6"/>
      <c r="B135" s="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9"/>
      <c r="Z135" s="9"/>
      <c r="AA135" s="9"/>
    </row>
    <row r="136" ht="43.5" customHeight="1">
      <c r="A136" s="6"/>
      <c r="B136" s="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9"/>
      <c r="AA136" s="9"/>
    </row>
    <row r="137" ht="43.5" customHeight="1">
      <c r="A137" s="6"/>
      <c r="B137" s="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9"/>
      <c r="AA137" s="9"/>
    </row>
    <row r="138" ht="43.5" customHeight="1">
      <c r="A138" s="6"/>
      <c r="B138" s="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9"/>
      <c r="AA138" s="9"/>
    </row>
    <row r="139" ht="43.5" customHeight="1">
      <c r="A139" s="6"/>
      <c r="B139" s="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9"/>
      <c r="AA139" s="9"/>
    </row>
    <row r="140" ht="43.5" customHeight="1">
      <c r="A140" s="6"/>
      <c r="B140" s="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9"/>
      <c r="AA140" s="9"/>
    </row>
    <row r="141" ht="43.5" customHeight="1">
      <c r="A141" s="6"/>
      <c r="B141" s="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9"/>
      <c r="AA141" s="9"/>
    </row>
    <row r="142" ht="43.5" customHeight="1">
      <c r="A142" s="6"/>
      <c r="B142" s="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9"/>
      <c r="AA142" s="9"/>
    </row>
    <row r="143" ht="43.5" customHeight="1">
      <c r="A143" s="6"/>
      <c r="B143" s="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  <c r="Z143" s="9"/>
      <c r="AA143" s="9"/>
    </row>
    <row r="144" ht="43.5" customHeight="1">
      <c r="A144" s="6"/>
      <c r="B144" s="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9"/>
      <c r="AA144" s="9"/>
    </row>
    <row r="145" ht="43.5" customHeight="1">
      <c r="A145" s="6"/>
      <c r="B145" s="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"/>
      <c r="Z145" s="9"/>
      <c r="AA145" s="9"/>
    </row>
    <row r="146" ht="43.5" customHeight="1">
      <c r="A146" s="6"/>
      <c r="B146" s="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9"/>
      <c r="AA146" s="9"/>
    </row>
    <row r="147" ht="43.5" customHeight="1">
      <c r="A147" s="6"/>
      <c r="B147" s="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9"/>
      <c r="AA147" s="9"/>
    </row>
    <row r="148" ht="43.5" customHeight="1">
      <c r="A148" s="6"/>
      <c r="B148" s="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9"/>
      <c r="AA148" s="9"/>
    </row>
    <row r="149" ht="43.5" customHeight="1">
      <c r="A149" s="6"/>
      <c r="B149" s="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"/>
      <c r="Z149" s="9"/>
      <c r="AA149" s="9"/>
    </row>
    <row r="150" ht="43.5" customHeight="1">
      <c r="A150" s="6"/>
      <c r="B150" s="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"/>
      <c r="Z150" s="9"/>
      <c r="AA150" s="9"/>
    </row>
    <row r="151" ht="43.5" customHeight="1">
      <c r="A151" s="6"/>
      <c r="B151" s="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9"/>
      <c r="AA151" s="9"/>
    </row>
    <row r="152" ht="43.5" customHeight="1">
      <c r="A152" s="6"/>
      <c r="B152" s="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9"/>
      <c r="AA152" s="9"/>
    </row>
    <row r="153" ht="43.5" customHeight="1">
      <c r="A153" s="6"/>
      <c r="B153" s="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9"/>
      <c r="AA153" s="9"/>
    </row>
    <row r="154" ht="43.5" customHeight="1">
      <c r="A154" s="6"/>
      <c r="B154" s="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9"/>
      <c r="AA154" s="9"/>
    </row>
    <row r="155" ht="43.5" customHeight="1">
      <c r="A155" s="6"/>
      <c r="B155" s="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9"/>
      <c r="AA155" s="9"/>
    </row>
    <row r="156" ht="43.5" customHeight="1">
      <c r="A156" s="6"/>
      <c r="B156" s="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9"/>
      <c r="AA156" s="9"/>
    </row>
    <row r="157" ht="43.5" customHeight="1">
      <c r="A157" s="6"/>
      <c r="B157" s="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"/>
      <c r="Z157" s="9"/>
      <c r="AA157" s="9"/>
    </row>
    <row r="158" ht="43.5" customHeight="1">
      <c r="A158" s="6"/>
      <c r="B158" s="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9"/>
      <c r="AA158" s="9"/>
    </row>
    <row r="159" ht="43.5" customHeight="1">
      <c r="A159" s="6"/>
      <c r="B159" s="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9"/>
      <c r="AA159" s="9"/>
    </row>
    <row r="160" ht="43.5" customHeight="1">
      <c r="A160" s="6"/>
      <c r="B160" s="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9"/>
      <c r="AA160" s="9"/>
    </row>
    <row r="161" ht="43.5" customHeight="1">
      <c r="A161" s="6"/>
      <c r="B161" s="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9"/>
      <c r="AA161" s="9"/>
    </row>
    <row r="162" ht="43.5" customHeight="1">
      <c r="A162" s="6"/>
      <c r="B162" s="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9"/>
      <c r="AA162" s="9"/>
    </row>
    <row r="163" ht="43.5" customHeight="1">
      <c r="A163" s="6"/>
      <c r="B163" s="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"/>
      <c r="Z163" s="9"/>
      <c r="AA163" s="9"/>
    </row>
    <row r="164" ht="43.5" customHeight="1">
      <c r="A164" s="6"/>
      <c r="B164" s="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"/>
      <c r="Z164" s="9"/>
      <c r="AA164" s="9"/>
    </row>
    <row r="165" ht="43.5" customHeight="1">
      <c r="A165" s="6"/>
      <c r="B165" s="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9"/>
      <c r="AA165" s="9"/>
    </row>
    <row r="166" ht="43.5" customHeight="1">
      <c r="A166" s="6"/>
      <c r="B166" s="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9"/>
      <c r="AA166" s="9"/>
    </row>
    <row r="167" ht="43.5" customHeight="1">
      <c r="A167" s="6"/>
      <c r="B167" s="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9"/>
      <c r="AA167" s="9"/>
    </row>
    <row r="168" ht="43.5" customHeight="1">
      <c r="A168" s="6"/>
      <c r="B168" s="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9"/>
      <c r="AA168" s="9"/>
    </row>
    <row r="169" ht="43.5" customHeight="1">
      <c r="A169" s="6"/>
      <c r="B169" s="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9"/>
      <c r="AA169" s="9"/>
    </row>
    <row r="170" ht="43.5" customHeight="1">
      <c r="A170" s="6"/>
      <c r="B170" s="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"/>
      <c r="Z170" s="9"/>
      <c r="AA170" s="9"/>
    </row>
    <row r="171" ht="43.5" customHeight="1">
      <c r="A171" s="6"/>
      <c r="B171" s="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"/>
      <c r="Z171" s="9"/>
      <c r="AA171" s="9"/>
    </row>
    <row r="172" ht="43.5" customHeight="1">
      <c r="A172" s="6"/>
      <c r="B172" s="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9"/>
      <c r="AA172" s="9"/>
    </row>
    <row r="173" ht="43.5" customHeight="1">
      <c r="A173" s="6"/>
      <c r="B173" s="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"/>
      <c r="Z173" s="9"/>
      <c r="AA173" s="9"/>
    </row>
    <row r="174" ht="43.5" customHeight="1">
      <c r="A174" s="6"/>
      <c r="B174" s="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9"/>
      <c r="AA174" s="9"/>
    </row>
    <row r="175" ht="43.5" customHeight="1">
      <c r="A175" s="6"/>
      <c r="B175" s="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9"/>
      <c r="AA175" s="9"/>
    </row>
    <row r="176" ht="43.5" customHeight="1">
      <c r="A176" s="6"/>
      <c r="B176" s="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9"/>
      <c r="AA176" s="9"/>
    </row>
    <row r="177" ht="43.5" customHeight="1">
      <c r="A177" s="6"/>
      <c r="B177" s="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"/>
      <c r="Z177" s="9"/>
      <c r="AA177" s="9"/>
    </row>
    <row r="178" ht="43.5" customHeight="1">
      <c r="A178" s="6"/>
      <c r="B178" s="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"/>
      <c r="Z178" s="9"/>
      <c r="AA178" s="9"/>
    </row>
    <row r="179" ht="43.5" customHeight="1">
      <c r="A179" s="6"/>
      <c r="B179" s="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9"/>
      <c r="AA179" s="9"/>
    </row>
    <row r="180" ht="43.5" customHeight="1">
      <c r="A180" s="6"/>
      <c r="B180" s="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9"/>
      <c r="AA180" s="9"/>
    </row>
    <row r="181" ht="43.5" customHeight="1">
      <c r="A181" s="6"/>
      <c r="B181" s="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9"/>
      <c r="AA181" s="9"/>
    </row>
    <row r="182" ht="43.5" customHeight="1">
      <c r="A182" s="6"/>
      <c r="B182" s="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9"/>
      <c r="AA182" s="9"/>
    </row>
    <row r="183" ht="43.5" customHeight="1">
      <c r="A183" s="6"/>
      <c r="B183" s="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9"/>
      <c r="AA183" s="9"/>
    </row>
    <row r="184" ht="43.5" customHeight="1">
      <c r="A184" s="6"/>
      <c r="B184" s="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9"/>
      <c r="AA184" s="9"/>
    </row>
    <row r="185" ht="43.5" customHeight="1">
      <c r="A185" s="6"/>
      <c r="B185" s="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9"/>
      <c r="AA185" s="9"/>
    </row>
    <row r="186" ht="43.5" customHeight="1">
      <c r="A186" s="6"/>
      <c r="B186" s="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9"/>
      <c r="AA186" s="9"/>
    </row>
    <row r="187" ht="43.5" customHeight="1">
      <c r="A187" s="6"/>
      <c r="B187" s="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9"/>
      <c r="AA187" s="9"/>
    </row>
    <row r="188" ht="43.5" customHeight="1">
      <c r="A188" s="6"/>
      <c r="B188" s="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9"/>
      <c r="AA188" s="9"/>
    </row>
    <row r="189" ht="43.5" customHeight="1">
      <c r="A189" s="6"/>
      <c r="B189" s="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9"/>
      <c r="AA189" s="9"/>
    </row>
    <row r="190" ht="43.5" customHeight="1">
      <c r="A190" s="6"/>
      <c r="B190" s="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9"/>
      <c r="AA190" s="9"/>
    </row>
    <row r="191" ht="43.5" customHeight="1">
      <c r="A191" s="6"/>
      <c r="B191" s="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9"/>
      <c r="AA191" s="9"/>
    </row>
    <row r="192" ht="43.5" customHeight="1">
      <c r="A192" s="6"/>
      <c r="B192" s="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9"/>
      <c r="AA192" s="9"/>
    </row>
    <row r="193" ht="43.5" customHeight="1">
      <c r="A193" s="6"/>
      <c r="B193" s="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9"/>
      <c r="AA193" s="9"/>
    </row>
    <row r="194" ht="43.5" customHeight="1">
      <c r="A194" s="6"/>
      <c r="B194" s="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9"/>
      <c r="AA194" s="9"/>
    </row>
    <row r="195" ht="43.5" customHeight="1">
      <c r="A195" s="6"/>
      <c r="B195" s="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9"/>
      <c r="AA195" s="9"/>
    </row>
    <row r="196" ht="43.5" customHeight="1">
      <c r="A196" s="6"/>
      <c r="B196" s="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9"/>
      <c r="AA196" s="9"/>
    </row>
    <row r="197" ht="43.5" customHeight="1">
      <c r="A197" s="6"/>
      <c r="B197" s="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9"/>
      <c r="AA197" s="9"/>
    </row>
    <row r="198" ht="43.5" customHeight="1">
      <c r="A198" s="6"/>
      <c r="B198" s="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9"/>
      <c r="AA198" s="9"/>
    </row>
    <row r="199" ht="43.5" customHeight="1">
      <c r="A199" s="6"/>
      <c r="B199" s="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9"/>
      <c r="AA199" s="9"/>
    </row>
    <row r="200" ht="43.5" customHeight="1">
      <c r="A200" s="6"/>
      <c r="B200" s="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9"/>
      <c r="AA200" s="9"/>
    </row>
    <row r="201" ht="43.5" customHeight="1">
      <c r="A201" s="6"/>
      <c r="B201" s="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9"/>
      <c r="AA201" s="9"/>
    </row>
    <row r="202" ht="43.5" customHeight="1">
      <c r="A202" s="6"/>
      <c r="B202" s="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9"/>
      <c r="AA202" s="9"/>
    </row>
    <row r="203" ht="43.5" customHeight="1">
      <c r="A203" s="6"/>
      <c r="B203" s="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9"/>
      <c r="AA203" s="9"/>
    </row>
    <row r="204" ht="43.5" customHeight="1">
      <c r="A204" s="6"/>
      <c r="B204" s="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9"/>
      <c r="AA204" s="9"/>
    </row>
    <row r="205" ht="43.5" customHeight="1">
      <c r="A205" s="6"/>
      <c r="B205" s="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"/>
      <c r="Z205" s="9"/>
      <c r="AA205" s="9"/>
    </row>
    <row r="206" ht="43.5" customHeight="1">
      <c r="A206" s="6"/>
      <c r="B206" s="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9"/>
      <c r="AA206" s="9"/>
    </row>
    <row r="207" ht="43.5" customHeight="1">
      <c r="A207" s="6"/>
      <c r="B207" s="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9"/>
      <c r="AA207" s="9"/>
    </row>
    <row r="208" ht="43.5" customHeight="1">
      <c r="A208" s="6"/>
      <c r="B208" s="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9"/>
      <c r="AA208" s="9"/>
    </row>
    <row r="209" ht="43.5" customHeight="1">
      <c r="A209" s="6"/>
      <c r="B209" s="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9"/>
      <c r="AA209" s="9"/>
    </row>
    <row r="210" ht="43.5" customHeight="1">
      <c r="A210" s="6"/>
      <c r="B210" s="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9"/>
      <c r="AA210" s="9"/>
    </row>
    <row r="211" ht="43.5" customHeight="1">
      <c r="A211" s="6"/>
      <c r="B211" s="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9"/>
      <c r="AA211" s="9"/>
    </row>
    <row r="212" ht="43.5" customHeight="1">
      <c r="A212" s="6"/>
      <c r="B212" s="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9"/>
      <c r="AA212" s="9"/>
    </row>
    <row r="213" ht="43.5" customHeight="1">
      <c r="A213" s="6"/>
      <c r="B213" s="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9"/>
      <c r="Z213" s="9"/>
      <c r="AA213" s="9"/>
    </row>
    <row r="214" ht="43.5" customHeight="1">
      <c r="A214" s="6"/>
      <c r="B214" s="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9"/>
      <c r="AA214" s="9"/>
    </row>
    <row r="215" ht="43.5" customHeight="1">
      <c r="A215" s="6"/>
      <c r="B215" s="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9"/>
      <c r="AA215" s="9"/>
    </row>
    <row r="216" ht="43.5" customHeight="1">
      <c r="A216" s="6"/>
      <c r="B216" s="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9"/>
      <c r="AA216" s="9"/>
    </row>
    <row r="217" ht="43.5" customHeight="1">
      <c r="A217" s="6"/>
      <c r="B217" s="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9"/>
      <c r="AA217" s="9"/>
    </row>
    <row r="218" ht="43.5" customHeight="1">
      <c r="A218" s="6"/>
      <c r="B218" s="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9"/>
      <c r="AA218" s="9"/>
    </row>
    <row r="219" ht="43.5" customHeight="1">
      <c r="A219" s="6"/>
      <c r="B219" s="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9"/>
      <c r="AA219" s="9"/>
    </row>
    <row r="220" ht="43.5" customHeight="1">
      <c r="A220" s="6"/>
      <c r="B220" s="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9"/>
      <c r="AA220" s="9"/>
    </row>
    <row r="221" ht="43.5" customHeight="1">
      <c r="A221" s="6"/>
      <c r="B221" s="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9"/>
      <c r="AA221" s="9"/>
    </row>
    <row r="222" ht="43.5" customHeight="1">
      <c r="A222" s="6"/>
      <c r="B222" s="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9"/>
      <c r="AA222" s="9"/>
    </row>
    <row r="223" ht="43.5" customHeight="1">
      <c r="A223" s="6"/>
      <c r="B223" s="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9"/>
      <c r="AA223" s="9"/>
    </row>
    <row r="224" ht="43.5" customHeight="1">
      <c r="A224" s="6"/>
      <c r="B224" s="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9"/>
      <c r="AA224" s="9"/>
    </row>
    <row r="225" ht="43.5" customHeight="1">
      <c r="A225" s="6"/>
      <c r="B225" s="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9"/>
      <c r="AA225" s="9"/>
    </row>
    <row r="226" ht="43.5" customHeight="1">
      <c r="A226" s="6"/>
      <c r="B226" s="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9"/>
      <c r="AA226" s="9"/>
    </row>
    <row r="227" ht="43.5" customHeight="1">
      <c r="A227" s="6"/>
      <c r="B227" s="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9"/>
      <c r="AA227" s="9"/>
    </row>
    <row r="228" ht="43.5" customHeight="1">
      <c r="A228" s="6"/>
      <c r="B228" s="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9"/>
      <c r="AA228" s="9"/>
    </row>
    <row r="229" ht="43.5" customHeight="1">
      <c r="A229" s="6"/>
      <c r="B229" s="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9"/>
      <c r="AA229" s="9"/>
    </row>
    <row r="230" ht="43.5" customHeight="1">
      <c r="A230" s="6"/>
      <c r="B230" s="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9"/>
      <c r="AA230" s="9"/>
    </row>
    <row r="231" ht="43.5" customHeight="1">
      <c r="A231" s="6"/>
      <c r="B231" s="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9"/>
      <c r="AA231" s="9"/>
    </row>
    <row r="232" ht="43.5" customHeight="1">
      <c r="A232" s="6"/>
      <c r="B232" s="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9"/>
      <c r="AA232" s="9"/>
    </row>
    <row r="233" ht="43.5" customHeight="1">
      <c r="A233" s="6"/>
      <c r="B233" s="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9"/>
      <c r="AA233" s="9"/>
    </row>
    <row r="234" ht="43.5" customHeight="1">
      <c r="A234" s="6"/>
      <c r="B234" s="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9"/>
      <c r="AA234" s="9"/>
    </row>
    <row r="235" ht="43.5" customHeight="1">
      <c r="A235" s="6"/>
      <c r="B235" s="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9"/>
      <c r="AA235" s="9"/>
    </row>
    <row r="236" ht="43.5" customHeight="1">
      <c r="A236" s="6"/>
      <c r="B236" s="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9"/>
      <c r="AA236" s="9"/>
    </row>
    <row r="237" ht="43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43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43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43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43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43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43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7:B7"/>
    <mergeCell ref="A10:B10"/>
    <mergeCell ref="A15:B15"/>
    <mergeCell ref="A19:B19"/>
    <mergeCell ref="A20:B20"/>
    <mergeCell ref="A28:B28"/>
  </mergeCells>
  <dataValidations>
    <dataValidation type="list" allowBlank="1" showErrorMessage="1" sqref="C5:C6 E5:E6 G5:G6 I5:I6 K5:K6 C9 E9 G9 I9 K9 C12:C14 E12:E14 G12:G14 I12:I14 K12:K14 C17:C18 E17:E18 G17:G18 I17:I18 K17:K18 C23:C27 E23:E27 G23:G27 I23:I27 K23:K27 C37:C38 E37:E38 G37:G38 I37:I38 K37:K38 C40:C42 E40:E42 G40:G42 I40:I42 K40:K42">
      <formula1>"0,1,2,3,4,5"</formula1>
    </dataValidation>
  </dataValidations>
  <printOptions/>
  <pageMargins bottom="0.75" footer="0.0" header="0.0" left="0.520833333333333" right="0.25" top="0.427083333333333"/>
  <pageSetup paperSize="14" orientation="landscape"/>
  <rowBreaks count="1" manualBreakCount="1">
    <brk id="21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46.86"/>
    <col customWidth="1" min="3" max="3" width="50.0"/>
    <col customWidth="1" min="4" max="4" width="47.0"/>
    <col customWidth="1" min="5" max="5" width="41.29"/>
    <col customWidth="1" min="6" max="6" width="12.57"/>
    <col customWidth="1" min="7" max="10" width="7.86"/>
    <col customWidth="1" min="11" max="17" width="8.71"/>
  </cols>
  <sheetData>
    <row r="1" ht="14.25" customHeight="1">
      <c r="A1" s="127" t="s">
        <v>93</v>
      </c>
      <c r="B1" s="128"/>
      <c r="C1" s="128"/>
      <c r="D1" s="128"/>
      <c r="E1" s="129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</row>
    <row r="2" ht="14.25" customHeight="1">
      <c r="A2" s="131" t="s">
        <v>94</v>
      </c>
      <c r="E2" s="132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</row>
    <row r="3" ht="14.25" customHeight="1">
      <c r="A3" s="133"/>
      <c r="B3" s="134"/>
      <c r="C3" s="134"/>
      <c r="D3" s="134"/>
      <c r="E3" s="135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</row>
    <row r="4" ht="14.25" customHeight="1">
      <c r="A4" s="131" t="s">
        <v>95</v>
      </c>
      <c r="E4" s="132"/>
      <c r="F4" s="136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</row>
    <row r="5" ht="14.25" customHeight="1">
      <c r="A5" s="131"/>
      <c r="B5" s="137"/>
      <c r="C5" s="137"/>
      <c r="D5" s="137"/>
      <c r="E5" s="138"/>
      <c r="F5" s="136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</row>
    <row r="6" ht="14.25" customHeight="1">
      <c r="A6" s="131"/>
      <c r="B6" s="137"/>
      <c r="C6" s="137"/>
      <c r="D6" s="137"/>
      <c r="E6" s="138" t="s">
        <v>3</v>
      </c>
      <c r="F6" s="136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</row>
    <row r="7" ht="14.25" customHeight="1">
      <c r="A7" s="139"/>
      <c r="B7" s="130"/>
      <c r="C7" s="140" t="s">
        <v>96</v>
      </c>
      <c r="D7" s="141" t="s">
        <v>98</v>
      </c>
      <c r="E7" s="142" t="s">
        <v>99</v>
      </c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</row>
    <row r="8" ht="27.75" customHeight="1">
      <c r="A8" s="143"/>
      <c r="B8" s="144" t="s">
        <v>101</v>
      </c>
      <c r="C8" s="145" t="s">
        <v>102</v>
      </c>
      <c r="D8" s="146" t="s">
        <v>104</v>
      </c>
      <c r="E8" s="147" t="s">
        <v>105</v>
      </c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</row>
    <row r="9" ht="16.5" customHeight="1">
      <c r="A9" s="148">
        <v>1.0</v>
      </c>
      <c r="B9" s="152" t="str">
        <f>CHAIR!C4</f>
        <v>Jhonrey A. Cañete</v>
      </c>
      <c r="C9" s="156">
        <f>SUM(VCHAIR!C20,HRMDO!C20,FACASPres!C20,'ICS HEAD'!C20)/4</f>
        <v>28.25</v>
      </c>
      <c r="D9" s="159">
        <f>SUM(VCHAIR!C28,HRMDO!C28,FACASPres!C28,'ICS HEAD'!C28)/4</f>
        <v>20.25</v>
      </c>
      <c r="E9" s="161">
        <f>SUM(VCHAIR!C43,HRMDO!C43,FACASPres!C43,'ICS HEAD'!C43)/4</f>
        <v>64.25</v>
      </c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</row>
    <row r="10" ht="16.5" customHeight="1">
      <c r="A10" s="164">
        <v>2.0</v>
      </c>
      <c r="B10" s="167" t="str">
        <f>CHAIR!E4</f>
        <v/>
      </c>
      <c r="C10" s="156">
        <f>SUM(CHAIR!E20,VCHAIR!E20,HRMDO!E20,FACASPres!E20)/5</f>
        <v>0</v>
      </c>
      <c r="D10" s="159">
        <f>SUM(VCHAIR!E28,HRMDO!E28,FACASPres!E28,'ICS HEAD'!E28)/4</f>
        <v>0</v>
      </c>
      <c r="E10" s="177">
        <f>SUM(VCHAIR!E43,HRMDO!E43,FACASPres!E43,'ICS HEAD'!E43)/5</f>
        <v>0</v>
      </c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</row>
    <row r="11" ht="14.25" customHeight="1">
      <c r="A11" s="130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</row>
    <row r="12" ht="14.25" customHeight="1">
      <c r="A12" s="130"/>
      <c r="C12" s="137"/>
      <c r="D12" s="130"/>
      <c r="E12" s="134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</row>
    <row r="13" ht="14.25" customHeight="1">
      <c r="A13" s="130"/>
      <c r="C13" s="134"/>
      <c r="D13" s="130"/>
      <c r="E13" s="13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</row>
    <row r="14" ht="14.25" customHeight="1">
      <c r="A14" s="130"/>
      <c r="C14" s="134"/>
      <c r="D14" s="130"/>
      <c r="E14" s="134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</row>
    <row r="15" ht="14.25" customHeight="1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</row>
    <row r="16" ht="14.25" customHeight="1">
      <c r="A16" s="130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</row>
    <row r="17" ht="14.25" customHeight="1">
      <c r="A17" s="130"/>
      <c r="B17" s="137"/>
      <c r="C17" s="137"/>
      <c r="D17" s="137"/>
      <c r="E17" s="137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</row>
    <row r="18" ht="14.25" customHeight="1">
      <c r="A18" s="130"/>
      <c r="B18" s="134"/>
      <c r="C18" s="134"/>
      <c r="D18" s="134"/>
      <c r="E18" s="134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</row>
    <row r="19" ht="14.25" customHeight="1">
      <c r="A19" s="130"/>
      <c r="B19" s="134"/>
      <c r="C19" s="183"/>
      <c r="D19" s="183"/>
      <c r="E19" s="134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</row>
    <row r="20" ht="14.25" customHeight="1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</row>
    <row r="21" ht="14.25" customHeight="1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</row>
    <row r="22" ht="14.25" customHeight="1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</row>
    <row r="23" ht="14.25" customHeight="1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</row>
    <row r="24" ht="14.25" customHeight="1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</row>
    <row r="25" ht="14.25" customHeight="1">
      <c r="A25" s="130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</row>
    <row r="26" ht="14.25" customHeight="1">
      <c r="A26" s="130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</row>
    <row r="27" ht="14.25" customHeight="1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</row>
    <row r="28" ht="14.25" customHeight="1">
      <c r="A28" s="130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</row>
    <row r="29" ht="14.25" customHeight="1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</row>
    <row r="30" ht="14.25" customHeight="1">
      <c r="A30" s="130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</row>
    <row r="31" ht="14.25" customHeight="1">
      <c r="A31" s="130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</row>
    <row r="32" ht="14.25" customHeight="1">
      <c r="A32" s="130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</row>
    <row r="33" ht="14.25" customHeight="1">
      <c r="A33" s="130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</row>
    <row r="34" ht="14.25" customHeight="1">
      <c r="A34" s="130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</row>
    <row r="35" ht="14.25" customHeight="1">
      <c r="A35" s="130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</row>
    <row r="36" ht="14.25" customHeight="1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</row>
    <row r="37" ht="14.25" customHeight="1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</row>
    <row r="38" ht="14.25" customHeight="1">
      <c r="A38" s="130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</row>
    <row r="39" ht="14.25" customHeight="1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</row>
    <row r="40" ht="14.25" customHeight="1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</row>
    <row r="41" ht="14.25" customHeight="1">
      <c r="A41" s="130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</row>
    <row r="42" ht="14.25" customHeight="1">
      <c r="A42" s="130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</row>
    <row r="43" ht="14.25" customHeight="1">
      <c r="A43" s="130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</row>
    <row r="44" ht="14.25" customHeight="1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</row>
    <row r="45" ht="14.25" customHeight="1">
      <c r="A45" s="130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</row>
    <row r="46" ht="14.25" customHeight="1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</row>
    <row r="47" ht="14.25" customHeight="1">
      <c r="A47" s="130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</row>
    <row r="48" ht="14.25" customHeight="1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</row>
    <row r="49" ht="14.25" customHeight="1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</row>
    <row r="50" ht="14.25" customHeight="1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</row>
    <row r="51" ht="14.25" customHeight="1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</row>
    <row r="52" ht="14.25" customHeight="1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</row>
    <row r="53" ht="14.25" customHeight="1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</row>
    <row r="54" ht="14.25" customHeight="1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</row>
    <row r="55" ht="14.25" customHeight="1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</row>
    <row r="56" ht="14.25" customHeight="1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</row>
    <row r="57" ht="14.25" customHeight="1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</row>
    <row r="58" ht="14.25" customHeight="1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</row>
    <row r="59" ht="14.25" customHeight="1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</row>
    <row r="60" ht="14.25" customHeight="1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</row>
    <row r="61" ht="14.25" customHeight="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</row>
    <row r="62" ht="14.25" customHeight="1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</row>
    <row r="63" ht="14.25" customHeight="1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</row>
    <row r="64" ht="14.25" customHeight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</row>
    <row r="65" ht="14.25" customHeight="1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</row>
    <row r="66" ht="14.25" customHeight="1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</row>
    <row r="67" ht="14.25" customHeight="1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</row>
    <row r="68" ht="14.25" customHeight="1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</row>
    <row r="69" ht="14.25" customHeight="1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</row>
    <row r="70" ht="14.25" customHeight="1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</row>
    <row r="71" ht="14.25" customHeight="1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</row>
    <row r="72" ht="14.25" customHeight="1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</row>
    <row r="73" ht="14.25" customHeight="1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</row>
    <row r="74" ht="14.25" customHeight="1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</row>
    <row r="75" ht="14.25" customHeight="1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</row>
    <row r="76" ht="14.25" customHeight="1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</row>
    <row r="77" ht="14.25" customHeight="1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</row>
    <row r="78" ht="14.25" customHeight="1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</row>
    <row r="79" ht="14.25" customHeight="1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</row>
    <row r="80" ht="14.25" customHeight="1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</row>
    <row r="81" ht="14.25" customHeight="1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</row>
    <row r="82" ht="14.25" customHeight="1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</row>
    <row r="83" ht="14.25" customHeight="1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</row>
    <row r="84" ht="14.25" customHeight="1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</row>
    <row r="85" ht="14.25" customHeight="1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</row>
    <row r="86" ht="14.25" customHeight="1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</row>
    <row r="87" ht="14.25" customHeight="1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</row>
    <row r="88" ht="14.25" customHeight="1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</row>
    <row r="89" ht="14.25" customHeight="1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</row>
    <row r="90" ht="14.25" customHeight="1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</row>
    <row r="91" ht="14.25" customHeight="1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</row>
    <row r="92" ht="14.25" customHeight="1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</row>
    <row r="93" ht="14.25" customHeight="1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</row>
    <row r="94" ht="14.25" customHeight="1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</row>
    <row r="95" ht="14.25" customHeight="1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</row>
    <row r="96" ht="14.25" customHeight="1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</row>
    <row r="97" ht="14.25" customHeight="1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</row>
    <row r="98" ht="14.25" customHeight="1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</row>
    <row r="99" ht="14.25" customHeight="1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</row>
    <row r="100" ht="14.25" customHeight="1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</row>
    <row r="101" ht="14.25" customHeight="1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</row>
    <row r="102" ht="14.25" customHeight="1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</row>
    <row r="103" ht="14.25" customHeight="1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</row>
    <row r="104" ht="14.25" customHeight="1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</row>
    <row r="105" ht="14.25" customHeight="1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</row>
    <row r="106" ht="14.25" customHeight="1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</row>
    <row r="107" ht="14.25" customHeight="1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</row>
    <row r="108" ht="14.25" customHeight="1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</row>
    <row r="109" ht="14.25" customHeight="1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</row>
    <row r="110" ht="14.25" customHeight="1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</row>
    <row r="111" ht="14.25" customHeight="1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</row>
    <row r="112" ht="14.25" customHeight="1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</row>
    <row r="113" ht="14.25" customHeight="1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</row>
    <row r="114" ht="14.25" customHeight="1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</row>
    <row r="115" ht="14.25" customHeight="1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</row>
    <row r="116" ht="14.25" customHeight="1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</row>
    <row r="117" ht="14.25" customHeight="1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</row>
    <row r="118" ht="14.25" customHeight="1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</row>
    <row r="119" ht="14.25" customHeight="1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</row>
    <row r="120" ht="14.25" customHeight="1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</row>
    <row r="121" ht="14.25" customHeight="1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</row>
    <row r="122" ht="14.25" customHeight="1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</row>
    <row r="123" ht="14.25" customHeight="1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</row>
    <row r="124" ht="14.25" customHeight="1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</row>
    <row r="125" ht="14.25" customHeight="1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</row>
    <row r="126" ht="14.25" customHeight="1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</row>
    <row r="127" ht="14.25" customHeight="1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</row>
    <row r="128" ht="14.25" customHeight="1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</row>
    <row r="129" ht="14.25" customHeight="1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</row>
    <row r="130" ht="14.25" customHeight="1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</row>
    <row r="131" ht="14.25" customHeight="1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</row>
    <row r="132" ht="14.25" customHeight="1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</row>
    <row r="133" ht="14.25" customHeight="1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</row>
    <row r="134" ht="14.25" customHeight="1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</row>
    <row r="135" ht="14.25" customHeight="1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</row>
    <row r="136" ht="14.25" customHeight="1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</row>
    <row r="137" ht="14.25" customHeight="1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</row>
    <row r="138" ht="14.25" customHeight="1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</row>
    <row r="139" ht="14.25" customHeight="1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</row>
    <row r="140" ht="14.25" customHeight="1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</row>
    <row r="141" ht="14.25" customHeight="1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</row>
    <row r="142" ht="14.25" customHeight="1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</row>
    <row r="143" ht="14.25" customHeight="1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</row>
    <row r="144" ht="14.25" customHeight="1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</row>
    <row r="145" ht="14.25" customHeight="1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</row>
    <row r="146" ht="14.25" customHeight="1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</row>
    <row r="147" ht="14.25" customHeight="1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</row>
    <row r="148" ht="14.25" customHeight="1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</row>
    <row r="149" ht="14.25" customHeight="1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</row>
    <row r="150" ht="14.25" customHeight="1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</row>
    <row r="151" ht="14.25" customHeight="1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</row>
    <row r="152" ht="14.25" customHeight="1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</row>
    <row r="153" ht="14.25" customHeight="1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</row>
    <row r="154" ht="14.25" customHeight="1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</row>
    <row r="155" ht="14.25" customHeight="1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</row>
    <row r="156" ht="14.25" customHeight="1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</row>
    <row r="157" ht="14.25" customHeight="1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</row>
    <row r="158" ht="14.25" customHeight="1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</row>
    <row r="159" ht="14.25" customHeight="1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</row>
    <row r="160" ht="14.25" customHeight="1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</row>
    <row r="161" ht="14.25" customHeight="1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</row>
    <row r="162" ht="14.25" customHeight="1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</row>
    <row r="163" ht="14.25" customHeight="1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</row>
    <row r="164" ht="14.25" customHeight="1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</row>
    <row r="165" ht="14.25" customHeight="1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</row>
    <row r="166" ht="14.25" customHeight="1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</row>
    <row r="167" ht="14.25" customHeight="1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</row>
    <row r="168" ht="14.25" customHeight="1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</row>
    <row r="169" ht="14.25" customHeight="1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</row>
    <row r="170" ht="14.25" customHeight="1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</row>
    <row r="171" ht="14.25" customHeight="1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</row>
    <row r="172" ht="14.25" customHeight="1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</row>
    <row r="173" ht="14.25" customHeight="1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</row>
    <row r="174" ht="14.25" customHeight="1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</row>
    <row r="175" ht="14.25" customHeight="1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</row>
    <row r="176" ht="14.25" customHeight="1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</row>
    <row r="177" ht="14.25" customHeight="1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</row>
    <row r="178" ht="14.25" customHeight="1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</row>
    <row r="179" ht="14.25" customHeight="1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</row>
    <row r="180" ht="14.25" customHeight="1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</row>
    <row r="181" ht="14.25" customHeight="1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</row>
    <row r="182" ht="14.25" customHeight="1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</row>
    <row r="183" ht="14.25" customHeight="1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</row>
    <row r="184" ht="14.25" customHeight="1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</row>
    <row r="185" ht="14.25" customHeight="1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</row>
    <row r="186" ht="14.25" customHeight="1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</row>
    <row r="187" ht="14.25" customHeight="1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</row>
    <row r="188" ht="14.25" customHeight="1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</row>
    <row r="189" ht="14.25" customHeight="1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</row>
    <row r="190" ht="14.25" customHeight="1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</row>
    <row r="191" ht="14.25" customHeight="1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</row>
    <row r="192" ht="14.25" customHeight="1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</row>
    <row r="193" ht="14.25" customHeight="1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</row>
    <row r="194" ht="14.25" customHeight="1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</row>
    <row r="195" ht="14.25" customHeight="1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</row>
    <row r="196" ht="14.25" customHeight="1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</row>
    <row r="197" ht="14.25" customHeight="1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</row>
    <row r="198" ht="14.25" customHeight="1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</row>
    <row r="199" ht="14.25" customHeight="1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</row>
    <row r="200" ht="14.25" customHeight="1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</row>
    <row r="201" ht="14.25" customHeight="1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</row>
    <row r="202" ht="14.25" customHeight="1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</row>
    <row r="203" ht="14.25" customHeight="1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</row>
    <row r="204" ht="14.25" customHeight="1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</row>
    <row r="205" ht="14.25" customHeight="1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</row>
    <row r="206" ht="14.25" customHeight="1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</row>
    <row r="207" ht="14.25" customHeight="1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</row>
    <row r="208" ht="14.25" customHeight="1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</row>
    <row r="209" ht="14.25" customHeight="1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</row>
    <row r="210" ht="14.25" customHeight="1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</row>
    <row r="211" ht="14.25" customHeight="1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</row>
    <row r="212" ht="14.25" customHeight="1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</row>
    <row r="213" ht="14.25" customHeight="1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</row>
    <row r="214" ht="14.25" customHeight="1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</row>
    <row r="215" ht="14.25" customHeight="1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</row>
    <row r="216" ht="14.25" customHeight="1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</row>
    <row r="217" ht="14.25" customHeight="1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</row>
    <row r="218" ht="14.25" customHeight="1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</row>
    <row r="219" ht="14.25" customHeight="1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E1"/>
    <mergeCell ref="A2:E2"/>
    <mergeCell ref="A4:E4"/>
  </mergeCells>
  <printOptions/>
  <pageMargins bottom="0.75" footer="0.0" header="0.0" left="0.520833333333333" right="0.25" top="0.5625"/>
  <pageSetup paperSize="14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41.29"/>
    <col customWidth="1" min="3" max="3" width="9.71"/>
    <col customWidth="1" min="4" max="4" width="8.71"/>
    <col customWidth="1" min="5" max="5" width="9.71"/>
    <col customWidth="1" min="6" max="6" width="16.57"/>
    <col customWidth="1" min="7" max="7" width="5.29"/>
    <col customWidth="1" min="8" max="8" width="7.86"/>
    <col customWidth="1" min="9" max="9" width="6.43"/>
    <col customWidth="1" min="10" max="10" width="12.43"/>
    <col customWidth="1" min="11" max="11" width="11.43"/>
    <col customWidth="1" min="12" max="12" width="9.57"/>
    <col customWidth="1" min="13" max="13" width="11.0"/>
    <col customWidth="1" min="14" max="14" width="9.86"/>
    <col customWidth="1" min="15" max="15" width="12.71"/>
    <col customWidth="1" min="16" max="16" width="13.71"/>
    <col customWidth="1" min="17" max="17" width="12.57"/>
    <col customWidth="1" min="18" max="21" width="7.86"/>
    <col customWidth="1" min="22" max="28" width="8.71"/>
  </cols>
  <sheetData>
    <row r="1" ht="14.25" customHeight="1">
      <c r="A1" s="134" t="s">
        <v>97</v>
      </c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</row>
    <row r="2" ht="14.25" customHeight="1">
      <c r="A2" s="137" t="s">
        <v>100</v>
      </c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</row>
    <row r="3" ht="14.25" customHeight="1">
      <c r="A3" s="134" t="s">
        <v>103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</row>
    <row r="4" ht="14.2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</row>
    <row r="5" ht="14.25" customHeight="1">
      <c r="A5" s="149" t="s">
        <v>94</v>
      </c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</row>
    <row r="6" ht="14.25" customHeight="1">
      <c r="A6" s="151" t="s">
        <v>106</v>
      </c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</row>
    <row r="7" ht="29.25" customHeight="1">
      <c r="A7" s="149" t="s">
        <v>107</v>
      </c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</row>
    <row r="8" ht="32.25" customHeight="1">
      <c r="A8" s="137"/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53"/>
      <c r="Q8" s="153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</row>
    <row r="9" ht="31.5" customHeight="1">
      <c r="A9" s="154" t="s">
        <v>108</v>
      </c>
      <c r="B9" s="128"/>
      <c r="C9" s="155" t="s">
        <v>109</v>
      </c>
      <c r="D9" s="157"/>
      <c r="E9" s="157"/>
      <c r="F9" s="157"/>
      <c r="G9" s="158" t="s">
        <v>110</v>
      </c>
      <c r="H9" s="157"/>
      <c r="I9" s="160" t="s">
        <v>111</v>
      </c>
      <c r="J9" s="128"/>
      <c r="K9" s="128"/>
      <c r="L9" s="128"/>
      <c r="M9" s="128"/>
      <c r="N9" s="128"/>
      <c r="O9" s="128"/>
      <c r="P9" s="129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</row>
    <row r="10" ht="18.75" customHeight="1">
      <c r="A10" s="139" t="s">
        <v>112</v>
      </c>
      <c r="C10" s="162">
        <v>1325.68</v>
      </c>
      <c r="D10" s="163"/>
      <c r="E10" s="163"/>
      <c r="F10" s="163"/>
      <c r="G10" s="165" t="s">
        <v>113</v>
      </c>
      <c r="H10" s="163"/>
      <c r="I10" s="166" t="s">
        <v>114</v>
      </c>
      <c r="P10" s="132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</row>
    <row r="11" ht="18.75" customHeight="1">
      <c r="A11" s="139" t="s">
        <v>115</v>
      </c>
      <c r="C11" s="168" t="s">
        <v>116</v>
      </c>
      <c r="D11" s="136"/>
      <c r="E11" s="136"/>
      <c r="F11" s="136"/>
      <c r="G11" s="169" t="s">
        <v>117</v>
      </c>
      <c r="H11" s="136"/>
      <c r="I11" s="170" t="s">
        <v>114</v>
      </c>
      <c r="J11" s="130"/>
      <c r="K11" s="171"/>
      <c r="P11" s="132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</row>
    <row r="12" ht="18.75" customHeight="1">
      <c r="A12" s="172" t="s">
        <v>118</v>
      </c>
      <c r="B12" s="173"/>
      <c r="C12" s="174" t="s">
        <v>119</v>
      </c>
      <c r="D12" s="173"/>
      <c r="E12" s="173"/>
      <c r="F12" s="173"/>
      <c r="G12" s="175" t="s">
        <v>120</v>
      </c>
      <c r="H12" s="176"/>
      <c r="I12" s="174" t="s">
        <v>121</v>
      </c>
      <c r="J12" s="174"/>
      <c r="K12" s="174"/>
      <c r="L12" s="174"/>
      <c r="M12" s="174"/>
      <c r="N12" s="174"/>
      <c r="O12" s="174"/>
      <c r="P12" s="178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</row>
    <row r="13" ht="14.25" customHeight="1">
      <c r="A13" s="179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6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</row>
    <row r="14" ht="43.5" customHeight="1">
      <c r="A14" s="180" t="s">
        <v>122</v>
      </c>
      <c r="B14" s="180" t="s">
        <v>123</v>
      </c>
      <c r="C14" s="181" t="s">
        <v>124</v>
      </c>
      <c r="D14" s="182"/>
      <c r="E14" s="182"/>
      <c r="F14" s="182"/>
      <c r="G14" s="182"/>
      <c r="H14" s="182"/>
      <c r="I14" s="182"/>
      <c r="J14" s="184"/>
      <c r="K14" s="185" t="s">
        <v>125</v>
      </c>
      <c r="L14" s="184"/>
      <c r="M14" s="185" t="s">
        <v>126</v>
      </c>
      <c r="N14" s="184"/>
      <c r="O14" s="186" t="s">
        <v>127</v>
      </c>
      <c r="P14" s="186" t="s">
        <v>128</v>
      </c>
      <c r="Q14" s="130"/>
      <c r="R14" s="130"/>
      <c r="S14" s="187"/>
      <c r="T14" s="101"/>
      <c r="U14" s="130"/>
      <c r="V14" s="130"/>
      <c r="W14" s="130"/>
      <c r="X14" s="130"/>
      <c r="Y14" s="130"/>
      <c r="Z14" s="130"/>
      <c r="AA14" s="130"/>
      <c r="AB14" s="130"/>
    </row>
    <row r="15" ht="79.5" customHeight="1">
      <c r="A15" s="188">
        <v>1.0</v>
      </c>
      <c r="B15" s="189" t="str">
        <f>CHAIR!C4</f>
        <v>Jhonrey A. Cañete</v>
      </c>
      <c r="C15" s="190" t="s">
        <v>129</v>
      </c>
      <c r="D15" s="191"/>
      <c r="E15" s="191"/>
      <c r="F15" s="123"/>
      <c r="G15" s="192">
        <v>70.0</v>
      </c>
      <c r="H15" s="191"/>
      <c r="I15" s="191"/>
      <c r="J15" s="123"/>
      <c r="K15" s="193">
        <f>'BEI Summary'!E9/80*20</f>
        <v>16.0625</v>
      </c>
      <c r="L15" s="76"/>
      <c r="M15" s="193">
        <f>SUM('BEI Summary'!C9:D9)/65*10</f>
        <v>7.461538462</v>
      </c>
      <c r="N15" s="76"/>
      <c r="O15" s="194">
        <f>SUM(C15:N15)</f>
        <v>93.52403846</v>
      </c>
      <c r="P15" s="195">
        <f>_xlfn.RANK.EQ(O15,O15:O16,0)</f>
        <v>1</v>
      </c>
      <c r="Q15" s="130"/>
      <c r="R15" s="130"/>
      <c r="S15" s="196"/>
      <c r="T15" s="119"/>
      <c r="U15" s="130"/>
      <c r="V15" s="130"/>
      <c r="W15" s="130"/>
      <c r="X15" s="130"/>
      <c r="Y15" s="130"/>
      <c r="Z15" s="130"/>
      <c r="AA15" s="130"/>
      <c r="AB15" s="130"/>
    </row>
    <row r="16" ht="32.25" hidden="1" customHeight="1">
      <c r="A16" s="197">
        <v>2.0</v>
      </c>
      <c r="B16" s="198" t="str">
        <f>CHAIR!E4</f>
        <v/>
      </c>
      <c r="C16" s="199"/>
      <c r="D16" s="191"/>
      <c r="E16" s="191"/>
      <c r="F16" s="123"/>
      <c r="G16" s="200"/>
      <c r="H16" s="191"/>
      <c r="I16" s="191"/>
      <c r="J16" s="123"/>
      <c r="K16" s="193">
        <f>SUM('BEI Summary'!E10/80)*20</f>
        <v>0</v>
      </c>
      <c r="L16" s="76"/>
      <c r="M16" s="193">
        <f>SUM('BEI Summary'!F10)/65*10</f>
        <v>0</v>
      </c>
      <c r="N16" s="76"/>
      <c r="O16" s="194">
        <f>SUM(G16:N16)</f>
        <v>0</v>
      </c>
      <c r="P16" s="195">
        <f>_xlfn.RANK.EQ(O16,O15:O16,0)</f>
        <v>2</v>
      </c>
      <c r="Q16" s="130"/>
      <c r="R16" s="130"/>
      <c r="S16" s="196"/>
      <c r="T16" s="119"/>
      <c r="U16" s="130"/>
      <c r="V16" s="130"/>
      <c r="W16" s="130"/>
      <c r="X16" s="130"/>
      <c r="Y16" s="130"/>
      <c r="Z16" s="130"/>
      <c r="AA16" s="130"/>
      <c r="AB16" s="130"/>
    </row>
    <row r="17" ht="18.75" hidden="1" customHeight="1">
      <c r="A17" s="197">
        <v>3.0</v>
      </c>
      <c r="B17" s="198" t="str">
        <f>CHAIR!G4</f>
        <v>-</v>
      </c>
      <c r="C17" s="199"/>
      <c r="D17" s="191"/>
      <c r="E17" s="191"/>
      <c r="F17" s="123"/>
      <c r="G17" s="200"/>
      <c r="H17" s="191"/>
      <c r="I17" s="191"/>
      <c r="J17" s="123"/>
      <c r="K17" s="193"/>
      <c r="L17" s="76"/>
      <c r="M17" s="193"/>
      <c r="N17" s="76"/>
      <c r="O17" s="194"/>
      <c r="P17" s="195"/>
      <c r="Q17" s="130"/>
      <c r="R17" s="130"/>
      <c r="S17" s="196"/>
      <c r="T17" s="119"/>
      <c r="U17" s="130"/>
      <c r="V17" s="130"/>
      <c r="W17" s="130"/>
      <c r="X17" s="130"/>
      <c r="Y17" s="130"/>
      <c r="Z17" s="130"/>
      <c r="AA17" s="130"/>
      <c r="AB17" s="130"/>
    </row>
    <row r="18" ht="51.0" hidden="1" customHeight="1">
      <c r="A18" s="201">
        <v>2.0</v>
      </c>
      <c r="B18" s="202" t="str">
        <f>CHAIR!E30</f>
        <v/>
      </c>
      <c r="C18" s="203" t="s">
        <v>130</v>
      </c>
      <c r="D18" s="191"/>
      <c r="E18" s="191"/>
      <c r="F18" s="123"/>
      <c r="G18" s="200" t="str">
        <f>[1]BACKGROUND!F10</f>
        <v>#ERROR!</v>
      </c>
      <c r="H18" s="191"/>
      <c r="I18" s="191"/>
      <c r="J18" s="123"/>
      <c r="K18" s="193">
        <f>SUM('BEI Summary'!E9/80)*20</f>
        <v>16.0625</v>
      </c>
      <c r="L18" s="76"/>
      <c r="M18" s="193">
        <f>SUM('BEI Summary'!C9:D9)/65*10</f>
        <v>7.461538462</v>
      </c>
      <c r="N18" s="76"/>
      <c r="O18" s="194" t="str">
        <f>SUM(G18:N18)</f>
        <v>#ERROR!</v>
      </c>
      <c r="P18" s="195" t="str">
        <f>_xlfn.RANK.EQ(O18,$O$18,0)</f>
        <v>#ERROR!</v>
      </c>
      <c r="Q18" s="130"/>
      <c r="R18" s="130"/>
      <c r="S18" s="187"/>
      <c r="T18" s="101"/>
      <c r="U18" s="130"/>
      <c r="V18" s="130"/>
      <c r="W18" s="130"/>
      <c r="X18" s="130"/>
      <c r="Y18" s="130"/>
      <c r="Z18" s="130"/>
      <c r="AA18" s="130"/>
      <c r="AB18" s="130"/>
    </row>
    <row r="19" ht="14.25" customHeight="1">
      <c r="A19" s="204" t="s">
        <v>131</v>
      </c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205"/>
      <c r="Q19" s="130"/>
      <c r="R19" s="130"/>
      <c r="S19" s="130"/>
      <c r="T19" s="130"/>
      <c r="U19" s="130"/>
      <c r="V19" s="130"/>
      <c r="W19" s="134"/>
      <c r="X19" s="134"/>
      <c r="Y19" s="134"/>
      <c r="Z19" s="130"/>
      <c r="AA19" s="130"/>
      <c r="AB19" s="130"/>
    </row>
    <row r="20" ht="14.25" customHeight="1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4"/>
      <c r="X20" s="134"/>
      <c r="Y20" s="134"/>
      <c r="Z20" s="130"/>
      <c r="AA20" s="130"/>
      <c r="AB20" s="130"/>
    </row>
    <row r="21" ht="14.25" customHeight="1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4"/>
      <c r="X21" s="134"/>
      <c r="Y21" s="134"/>
      <c r="Z21" s="130"/>
      <c r="AA21" s="130"/>
      <c r="AB21" s="130"/>
    </row>
    <row r="22" ht="14.25" customHeight="1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4"/>
      <c r="X22" s="134"/>
      <c r="Y22" s="134"/>
      <c r="Z22" s="130"/>
      <c r="AA22" s="130"/>
      <c r="AB22" s="130"/>
    </row>
    <row r="23" ht="14.25" customHeight="1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</row>
    <row r="24" ht="14.25" customHeight="1">
      <c r="A24" s="130"/>
      <c r="B24" s="137" t="s">
        <v>132</v>
      </c>
      <c r="C24" s="137"/>
      <c r="D24" s="136"/>
      <c r="E24" s="130"/>
      <c r="F24" s="206" t="s">
        <v>133</v>
      </c>
      <c r="K24" s="137"/>
      <c r="L24" s="130"/>
      <c r="M24" s="136"/>
      <c r="N24" s="206" t="s">
        <v>134</v>
      </c>
      <c r="Q24" s="137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19"/>
    </row>
    <row r="25" ht="14.25" customHeight="1">
      <c r="A25" s="130"/>
      <c r="B25" s="134" t="s">
        <v>135</v>
      </c>
      <c r="C25" s="134"/>
      <c r="D25" s="130"/>
      <c r="E25" s="130"/>
      <c r="F25" s="207" t="s">
        <v>136</v>
      </c>
      <c r="K25" s="130"/>
      <c r="L25" s="130"/>
      <c r="M25" s="130"/>
      <c r="N25" s="134" t="s">
        <v>137</v>
      </c>
      <c r="Q25" s="134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19"/>
    </row>
    <row r="26" ht="14.25" customHeight="1">
      <c r="A26" s="130"/>
      <c r="B26" s="134" t="s">
        <v>138</v>
      </c>
      <c r="C26" s="134"/>
      <c r="D26" s="130"/>
      <c r="E26" s="130"/>
      <c r="F26" s="134" t="s">
        <v>138</v>
      </c>
      <c r="K26" s="130"/>
      <c r="L26" s="130"/>
      <c r="M26" s="130"/>
      <c r="N26" s="134" t="s">
        <v>138</v>
      </c>
      <c r="Q26" s="134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19"/>
    </row>
    <row r="27" ht="14.25" customHeight="1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19"/>
    </row>
    <row r="28" ht="14.25" customHeight="1">
      <c r="A28" s="130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19"/>
    </row>
    <row r="29" ht="14.25" customHeight="1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19"/>
    </row>
    <row r="30" ht="14.25" customHeight="1">
      <c r="A30" s="130"/>
      <c r="B30" s="130"/>
      <c r="C30" s="137" t="s">
        <v>139</v>
      </c>
      <c r="F30" s="137"/>
      <c r="G30" s="130"/>
      <c r="H30" s="130"/>
      <c r="I30" s="136"/>
      <c r="J30" s="137" t="s">
        <v>140</v>
      </c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19"/>
    </row>
    <row r="31" ht="14.25" customHeight="1">
      <c r="A31" s="130"/>
      <c r="B31" s="130"/>
      <c r="C31" s="134" t="s">
        <v>141</v>
      </c>
      <c r="F31" s="134"/>
      <c r="G31" s="130"/>
      <c r="H31" s="130"/>
      <c r="I31" s="130"/>
      <c r="J31" s="134" t="s">
        <v>142</v>
      </c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19"/>
    </row>
    <row r="32" ht="14.25" customHeight="1">
      <c r="A32" s="130"/>
      <c r="B32" s="130"/>
      <c r="C32" s="134" t="s">
        <v>143</v>
      </c>
      <c r="F32" s="134"/>
      <c r="G32" s="130"/>
      <c r="H32" s="130" t="s">
        <v>144</v>
      </c>
      <c r="I32" s="130"/>
      <c r="J32" s="183" t="s">
        <v>145</v>
      </c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19"/>
    </row>
    <row r="33" ht="14.25" customHeight="1">
      <c r="A33" s="130"/>
      <c r="B33" s="130"/>
      <c r="C33" s="134"/>
      <c r="G33" s="130"/>
      <c r="H33" s="208"/>
      <c r="I33" s="130"/>
      <c r="J33" s="183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19"/>
    </row>
    <row r="34" ht="14.25" customHeight="1">
      <c r="A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</row>
    <row r="35" ht="14.25" customHeight="1">
      <c r="A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</row>
    <row r="36" ht="14.25" customHeight="1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</row>
    <row r="37" ht="14.25" customHeight="1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</row>
    <row r="38" ht="14.25" customHeight="1">
      <c r="A38" s="130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</row>
    <row r="39" ht="14.25" customHeight="1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</row>
    <row r="40" ht="14.25" customHeight="1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</row>
    <row r="41" ht="14.25" customHeight="1">
      <c r="A41" s="130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</row>
    <row r="42" ht="14.25" customHeight="1">
      <c r="A42" s="130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</row>
    <row r="43" ht="14.25" customHeight="1">
      <c r="A43" s="130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</row>
    <row r="44" ht="14.25" customHeight="1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</row>
    <row r="45" ht="14.25" customHeight="1">
      <c r="A45" s="130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</row>
    <row r="46" ht="14.25" customHeight="1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</row>
    <row r="47" ht="14.25" customHeight="1">
      <c r="A47" s="130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</row>
    <row r="48" ht="14.25" customHeight="1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</row>
    <row r="49" ht="14.25" customHeight="1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</row>
    <row r="50" ht="14.25" customHeight="1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</row>
    <row r="51" ht="14.25" customHeight="1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</row>
    <row r="52" ht="14.25" customHeight="1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</row>
    <row r="53" ht="14.25" customHeight="1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</row>
    <row r="54" ht="14.25" customHeight="1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</row>
    <row r="55" ht="14.25" customHeight="1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</row>
    <row r="56" ht="14.25" customHeight="1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</row>
    <row r="57" ht="14.25" customHeight="1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</row>
    <row r="58" ht="14.25" customHeight="1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</row>
    <row r="59" ht="14.25" customHeight="1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</row>
    <row r="60" ht="14.25" customHeight="1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</row>
    <row r="61" ht="14.25" customHeight="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</row>
    <row r="62" ht="14.25" customHeight="1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</row>
    <row r="63" ht="14.25" customHeight="1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</row>
    <row r="64" ht="14.25" customHeight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</row>
    <row r="65" ht="14.25" customHeight="1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</row>
    <row r="66" ht="14.25" customHeight="1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</row>
    <row r="67" ht="14.25" customHeight="1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</row>
    <row r="68" ht="14.25" customHeight="1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</row>
    <row r="69" ht="14.25" customHeight="1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</row>
    <row r="70" ht="14.25" customHeight="1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</row>
    <row r="71" ht="14.25" customHeight="1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</row>
    <row r="72" ht="14.25" customHeight="1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</row>
    <row r="73" ht="14.25" customHeight="1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</row>
    <row r="74" ht="14.25" customHeight="1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</row>
    <row r="75" ht="14.25" customHeight="1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</row>
    <row r="76" ht="14.25" customHeight="1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</row>
    <row r="77" ht="14.25" customHeight="1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</row>
    <row r="78" ht="14.25" customHeight="1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</row>
    <row r="79" ht="14.25" customHeight="1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</row>
    <row r="80" ht="14.25" customHeight="1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</row>
    <row r="81" ht="14.25" customHeight="1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</row>
    <row r="82" ht="14.25" customHeight="1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</row>
    <row r="83" ht="14.25" customHeight="1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</row>
    <row r="84" ht="14.25" customHeight="1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</row>
    <row r="85" ht="14.25" customHeight="1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</row>
    <row r="86" ht="14.25" customHeight="1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</row>
    <row r="87" ht="14.25" customHeight="1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</row>
    <row r="88" ht="14.25" customHeight="1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</row>
    <row r="89" ht="14.25" customHeight="1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</row>
    <row r="90" ht="14.25" customHeight="1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</row>
    <row r="91" ht="14.25" customHeight="1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</row>
    <row r="92" ht="14.25" customHeight="1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</row>
    <row r="93" ht="14.25" customHeight="1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</row>
    <row r="94" ht="14.25" customHeight="1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</row>
    <row r="95" ht="14.25" customHeight="1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</row>
    <row r="96" ht="14.25" customHeight="1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</row>
    <row r="97" ht="14.25" customHeight="1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</row>
    <row r="98" ht="14.25" customHeight="1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</row>
    <row r="99" ht="14.25" customHeight="1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</row>
    <row r="100" ht="14.25" customHeight="1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</row>
    <row r="101" ht="14.25" customHeight="1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</row>
    <row r="102" ht="14.25" customHeight="1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</row>
    <row r="103" ht="14.25" customHeight="1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</row>
    <row r="104" ht="14.25" customHeight="1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</row>
    <row r="105" ht="14.25" customHeight="1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</row>
    <row r="106" ht="14.25" customHeight="1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</row>
    <row r="107" ht="14.25" customHeight="1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</row>
    <row r="108" ht="14.25" customHeight="1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</row>
    <row r="109" ht="14.25" customHeight="1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</row>
    <row r="110" ht="14.25" customHeight="1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</row>
    <row r="111" ht="14.25" customHeight="1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</row>
    <row r="112" ht="14.25" customHeight="1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</row>
    <row r="113" ht="14.25" customHeight="1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</row>
    <row r="114" ht="14.25" customHeight="1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</row>
    <row r="115" ht="14.25" customHeight="1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</row>
    <row r="116" ht="14.25" customHeight="1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</row>
    <row r="117" ht="14.25" customHeight="1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</row>
    <row r="118" ht="14.25" customHeight="1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</row>
    <row r="119" ht="14.25" customHeight="1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</row>
    <row r="120" ht="14.25" customHeight="1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</row>
    <row r="121" ht="14.25" customHeight="1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</row>
    <row r="122" ht="14.25" customHeight="1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</row>
    <row r="123" ht="14.25" customHeight="1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</row>
    <row r="124" ht="14.25" customHeight="1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</row>
    <row r="125" ht="14.25" customHeight="1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</row>
    <row r="126" ht="14.25" customHeight="1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</row>
    <row r="127" ht="14.25" customHeight="1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</row>
    <row r="128" ht="14.25" customHeight="1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</row>
    <row r="129" ht="14.25" customHeight="1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</row>
    <row r="130" ht="14.25" customHeight="1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</row>
    <row r="131" ht="14.25" customHeight="1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</row>
    <row r="132" ht="14.25" customHeight="1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</row>
    <row r="133" ht="14.25" customHeight="1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</row>
    <row r="134" ht="14.25" customHeight="1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</row>
    <row r="135" ht="14.25" customHeight="1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</row>
    <row r="136" ht="14.25" customHeight="1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</row>
    <row r="137" ht="14.25" customHeight="1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</row>
    <row r="138" ht="14.25" customHeight="1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</row>
    <row r="139" ht="14.25" customHeight="1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</row>
    <row r="140" ht="14.25" customHeight="1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</row>
    <row r="141" ht="14.25" customHeight="1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</row>
    <row r="142" ht="14.25" customHeight="1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</row>
    <row r="143" ht="14.25" customHeight="1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</row>
    <row r="144" ht="14.25" customHeight="1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</row>
    <row r="145" ht="14.25" customHeight="1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</row>
    <row r="146" ht="14.25" customHeight="1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</row>
    <row r="147" ht="14.25" customHeight="1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</row>
    <row r="148" ht="14.25" customHeight="1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</row>
    <row r="149" ht="14.25" customHeight="1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</row>
    <row r="150" ht="14.25" customHeight="1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</row>
    <row r="151" ht="14.25" customHeight="1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</row>
    <row r="152" ht="14.25" customHeight="1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</row>
    <row r="153" ht="14.25" customHeight="1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</row>
    <row r="154" ht="14.25" customHeight="1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</row>
    <row r="155" ht="14.25" customHeight="1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</row>
    <row r="156" ht="14.25" customHeight="1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</row>
    <row r="157" ht="14.25" customHeight="1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</row>
    <row r="158" ht="14.25" customHeight="1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</row>
    <row r="159" ht="14.25" customHeight="1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</row>
    <row r="160" ht="14.25" customHeight="1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</row>
    <row r="161" ht="14.25" customHeight="1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</row>
    <row r="162" ht="14.25" customHeight="1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</row>
    <row r="163" ht="14.25" customHeight="1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</row>
    <row r="164" ht="14.25" customHeight="1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</row>
    <row r="165" ht="14.25" customHeight="1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</row>
    <row r="166" ht="14.25" customHeight="1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</row>
    <row r="167" ht="14.25" customHeight="1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</row>
    <row r="168" ht="14.25" customHeight="1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</row>
    <row r="169" ht="14.25" customHeight="1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</row>
    <row r="170" ht="14.25" customHeight="1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</row>
    <row r="171" ht="14.25" customHeight="1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</row>
    <row r="172" ht="14.25" customHeight="1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</row>
    <row r="173" ht="14.25" customHeight="1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</row>
    <row r="174" ht="14.25" customHeight="1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</row>
    <row r="175" ht="14.25" customHeight="1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</row>
    <row r="176" ht="14.25" customHeight="1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</row>
    <row r="177" ht="14.25" customHeight="1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</row>
    <row r="178" ht="14.25" customHeight="1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</row>
    <row r="179" ht="14.25" customHeight="1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</row>
    <row r="180" ht="14.25" customHeight="1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</row>
    <row r="181" ht="14.25" customHeight="1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</row>
    <row r="182" ht="14.25" customHeight="1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</row>
    <row r="183" ht="14.25" customHeight="1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</row>
    <row r="184" ht="14.25" customHeight="1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</row>
    <row r="185" ht="14.25" customHeight="1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</row>
    <row r="186" ht="14.25" customHeight="1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</row>
    <row r="187" ht="14.25" customHeight="1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</row>
    <row r="188" ht="14.25" customHeight="1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</row>
    <row r="189" ht="14.25" customHeight="1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</row>
    <row r="190" ht="14.25" customHeight="1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</row>
    <row r="191" ht="14.25" customHeight="1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</row>
    <row r="192" ht="14.25" customHeight="1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</row>
    <row r="193" ht="14.25" customHeight="1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</row>
    <row r="194" ht="14.25" customHeight="1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</row>
    <row r="195" ht="14.25" customHeight="1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</row>
    <row r="196" ht="14.25" customHeight="1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</row>
    <row r="197" ht="14.25" customHeight="1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</row>
    <row r="198" ht="14.25" customHeight="1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</row>
    <row r="199" ht="14.25" customHeight="1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</row>
    <row r="200" ht="14.25" customHeight="1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</row>
    <row r="201" ht="14.25" customHeight="1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</row>
    <row r="202" ht="14.25" customHeight="1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</row>
    <row r="203" ht="14.25" customHeight="1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</row>
    <row r="204" ht="14.25" customHeight="1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</row>
    <row r="205" ht="14.25" customHeight="1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</row>
    <row r="206" ht="14.25" customHeight="1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</row>
    <row r="207" ht="14.25" customHeight="1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</row>
    <row r="208" ht="14.25" customHeight="1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</row>
    <row r="209" ht="14.25" customHeight="1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</row>
    <row r="210" ht="14.25" customHeight="1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</row>
    <row r="211" ht="14.25" customHeight="1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</row>
    <row r="212" ht="14.25" customHeight="1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</row>
    <row r="213" ht="14.25" customHeight="1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</row>
    <row r="214" ht="14.25" customHeight="1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</row>
    <row r="215" ht="14.25" customHeight="1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</row>
    <row r="216" ht="14.25" customHeight="1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</row>
    <row r="217" ht="14.25" customHeight="1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</row>
    <row r="218" ht="14.25" customHeight="1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</row>
    <row r="219" ht="14.25" customHeight="1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</row>
    <row r="220" ht="14.25" customHeight="1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</row>
    <row r="221" ht="14.25" customHeight="1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</row>
    <row r="222" ht="14.25" customHeight="1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</row>
    <row r="223" ht="14.25" customHeight="1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</row>
    <row r="224" ht="14.25" customHeight="1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</row>
    <row r="225" ht="14.25" customHeight="1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</row>
    <row r="226" ht="14.25" customHeight="1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</row>
    <row r="227" ht="14.25" customHeight="1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</row>
    <row r="228" ht="14.25" customHeight="1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</row>
    <row r="229" ht="14.25" customHeight="1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</row>
    <row r="230" ht="14.25" customHeight="1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</row>
    <row r="231" ht="14.25" customHeight="1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</row>
    <row r="232" ht="14.25" customHeight="1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C16:F16"/>
    <mergeCell ref="C17:F17"/>
    <mergeCell ref="G17:J17"/>
    <mergeCell ref="K17:L17"/>
    <mergeCell ref="M17:N17"/>
    <mergeCell ref="C18:F18"/>
    <mergeCell ref="A19:P19"/>
    <mergeCell ref="G18:J18"/>
    <mergeCell ref="F24:J24"/>
    <mergeCell ref="N24:P24"/>
    <mergeCell ref="F25:J25"/>
    <mergeCell ref="N25:P25"/>
    <mergeCell ref="F26:J26"/>
    <mergeCell ref="N26:P26"/>
    <mergeCell ref="I10:P10"/>
    <mergeCell ref="K11:P11"/>
    <mergeCell ref="A1:P1"/>
    <mergeCell ref="A2:P2"/>
    <mergeCell ref="A3:P3"/>
    <mergeCell ref="A5:P5"/>
    <mergeCell ref="A6:P6"/>
    <mergeCell ref="A7:P7"/>
    <mergeCell ref="I9:P9"/>
    <mergeCell ref="K14:L14"/>
    <mergeCell ref="M14:N14"/>
    <mergeCell ref="S14:T14"/>
    <mergeCell ref="A9:B9"/>
    <mergeCell ref="A10:B10"/>
    <mergeCell ref="A11:B11"/>
    <mergeCell ref="A12:B12"/>
    <mergeCell ref="C12:F12"/>
    <mergeCell ref="A13:B13"/>
    <mergeCell ref="C14:J14"/>
    <mergeCell ref="C15:F15"/>
    <mergeCell ref="G15:J15"/>
    <mergeCell ref="K15:L15"/>
    <mergeCell ref="M15:N15"/>
    <mergeCell ref="G16:J16"/>
    <mergeCell ref="K16:L16"/>
    <mergeCell ref="M16:N16"/>
    <mergeCell ref="K18:L18"/>
    <mergeCell ref="M18:N18"/>
    <mergeCell ref="S18:T18"/>
    <mergeCell ref="C30:E30"/>
    <mergeCell ref="J30:N30"/>
    <mergeCell ref="C31:E31"/>
    <mergeCell ref="J31:N31"/>
    <mergeCell ref="C32:E32"/>
    <mergeCell ref="J32:N32"/>
    <mergeCell ref="C33:F33"/>
    <mergeCell ref="J33:M33"/>
  </mergeCells>
  <printOptions/>
  <pageMargins bottom="0.75" footer="0.0" header="0.0" left="0.520833333333333" right="0.521" top="0.7562"/>
  <pageSetup paperSize="14" orientation="landscape"/>
  <colBreaks count="2" manualBreakCount="2">
    <brk man="1"/>
    <brk id="16" man="1"/>
  </colBreaks>
  <drawing r:id="rId1"/>
</worksheet>
</file>